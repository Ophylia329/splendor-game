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冻结窗格" sheetId="13" state="hidden" r:id="rId1"/>
    <sheet name="快速填充" sheetId="14" state="hidden" r:id="rId2"/>
    <sheet name="相似单元格填充" sheetId="15" state="hidden" r:id="rId3"/>
    <sheet name="合并单元格排序" sheetId="16" state="hidden" r:id="rId4"/>
    <sheet name="删除重复值" sheetId="17" state="hidden" r:id="rId5"/>
    <sheet name="函数的使用" sheetId="18" state="hidden" r:id="rId6"/>
    <sheet name="多文档合并" sheetId="19" state="hidden" r:id="rId7"/>
    <sheet name="Sheet1" sheetId="20" state="hidden" r:id="rId8"/>
    <sheet name="&lt;0&gt;cmd" sheetId="26" state="hidden" r:id="rId9"/>
    <sheet name="Sheet" sheetId="51" r:id="rId10"/>
  </sheets>
  <externalReferences>
    <externalReference r:id="rId11"/>
    <externalReference r:id="rId12"/>
  </externalReferences>
  <definedNames>
    <definedName name="发货状态">[1]其它资料设置!$J$2:$J$20</definedName>
    <definedName name="客户ID">[1]客户资料!$A$1:$A$65536</definedName>
    <definedName name="客户资料">[1]客户资料!$A$1:$F$65536</definedName>
    <definedName name="商品名称">[1]商品资料!$A$1:$A$65536</definedName>
    <definedName name="商品资料">[1]商品资料!$A$1:$F$65536</definedName>
    <definedName name="实发工资总额">'[2]混合引用1-缴税'!#REF!</definedName>
    <definedName name="支付方式">[1]其它资料设置!$H$2:$H$20</definedName>
    <definedName name="实发工资总额" localSheetId="2">'[2]混合引用1-缴税'!#REF!</definedName>
    <definedName name="实发工资总额" localSheetId="5">'[2]混合引用1-缴税'!#REF!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<sst xmlns="http://schemas.openxmlformats.org/spreadsheetml/2006/main" count="1179" uniqueCount="292">
  <si>
    <t>冻结A1：G3区域。
要冻结哪一个区域，就选这个区域下一行</t>
  </si>
  <si>
    <t>产品销售统计</t>
  </si>
  <si>
    <t>日期</t>
  </si>
  <si>
    <t>顾客</t>
  </si>
  <si>
    <t>产品</t>
  </si>
  <si>
    <t>销售额总计</t>
  </si>
  <si>
    <t>上海嘉华</t>
  </si>
  <si>
    <t>衬衫</t>
  </si>
  <si>
    <t>天津大宇</t>
  </si>
  <si>
    <t>香草枕头</t>
  </si>
  <si>
    <t>北京福东</t>
  </si>
  <si>
    <t>宠物垫</t>
  </si>
  <si>
    <t>南京万通</t>
  </si>
  <si>
    <t>睡袋</t>
  </si>
  <si>
    <t>床罩</t>
  </si>
  <si>
    <t>雨伞</t>
  </si>
  <si>
    <t>袜子</t>
  </si>
  <si>
    <t>身份证号</t>
  </si>
  <si>
    <t>出生年月</t>
  </si>
  <si>
    <t>35010220010203****</t>
  </si>
  <si>
    <r>
      <rPr>
        <sz val="12"/>
        <rFont val="宋体"/>
        <charset val="134"/>
      </rPr>
      <t>35040320021201****</t>
    </r>
  </si>
  <si>
    <r>
      <rPr>
        <sz val="12"/>
        <rFont val="宋体"/>
        <charset val="134"/>
      </rPr>
      <t>35020620030420****</t>
    </r>
  </si>
  <si>
    <r>
      <rPr>
        <sz val="12"/>
        <rFont val="宋体"/>
        <charset val="134"/>
      </rPr>
      <t>35030119980504****</t>
    </r>
  </si>
  <si>
    <r>
      <rPr>
        <sz val="12"/>
        <rFont val="宋体"/>
        <charset val="134"/>
      </rPr>
      <t>35010420021217****</t>
    </r>
  </si>
  <si>
    <r>
      <rPr>
        <sz val="12"/>
        <rFont val="宋体"/>
        <charset val="134"/>
      </rPr>
      <t>35020119990208****</t>
    </r>
  </si>
  <si>
    <r>
      <rPr>
        <sz val="12"/>
        <rFont val="宋体"/>
        <charset val="134"/>
      </rPr>
      <t>35010419980709****</t>
    </r>
  </si>
  <si>
    <r>
      <rPr>
        <sz val="12"/>
        <rFont val="宋体"/>
        <charset val="134"/>
      </rPr>
      <t>35010220008210****</t>
    </r>
  </si>
  <si>
    <r>
      <rPr>
        <sz val="12"/>
        <rFont val="宋体"/>
        <charset val="134"/>
      </rPr>
      <t>35040220030315****</t>
    </r>
  </si>
  <si>
    <r>
      <rPr>
        <sz val="12"/>
        <rFont val="宋体"/>
        <charset val="134"/>
      </rPr>
      <t>35010319991112****</t>
    </r>
  </si>
  <si>
    <r>
      <rPr>
        <sz val="12"/>
        <rFont val="宋体"/>
        <charset val="134"/>
      </rPr>
      <t>35010420010808****</t>
    </r>
  </si>
  <si>
    <r>
      <rPr>
        <sz val="12"/>
        <rFont val="宋体"/>
        <charset val="134"/>
      </rPr>
      <t>35010320000702****</t>
    </r>
  </si>
  <si>
    <r>
      <rPr>
        <sz val="12"/>
        <rFont val="宋体"/>
        <charset val="134"/>
      </rPr>
      <t>35010420010607****</t>
    </r>
  </si>
  <si>
    <r>
      <rPr>
        <sz val="12"/>
        <rFont val="宋体"/>
        <charset val="134"/>
      </rPr>
      <t>35010520010416****</t>
    </r>
  </si>
  <si>
    <t xml:space="preserve">1、使用批量填充和单元格定位方法，将A~E列的空白单元格填上相对应的值。
</t>
  </si>
  <si>
    <t>201601学期教师测评分</t>
  </si>
  <si>
    <t>学院总排名</t>
  </si>
  <si>
    <t>姓名</t>
  </si>
  <si>
    <t>所在系</t>
  </si>
  <si>
    <t>职称</t>
  </si>
  <si>
    <t>聘任类型</t>
  </si>
  <si>
    <t>课程名称</t>
  </si>
  <si>
    <t>班级</t>
  </si>
  <si>
    <t>测评人数</t>
  </si>
  <si>
    <t>班级得分</t>
  </si>
  <si>
    <t>课程得分</t>
  </si>
  <si>
    <t>平均分</t>
  </si>
  <si>
    <t>姜帆</t>
  </si>
  <si>
    <t>艺术系</t>
  </si>
  <si>
    <t>助教</t>
  </si>
  <si>
    <t>外聘</t>
  </si>
  <si>
    <t>通俗音乐(二)</t>
  </si>
  <si>
    <t>2014音乐学1班</t>
  </si>
  <si>
    <t>黄章</t>
  </si>
  <si>
    <t>副教授</t>
  </si>
  <si>
    <t>管弦乐演奏（二）</t>
  </si>
  <si>
    <t>2014音乐学2班</t>
  </si>
  <si>
    <t>管弦乐演奏(四)</t>
  </si>
  <si>
    <t>2013音乐学1班</t>
  </si>
  <si>
    <t>器乐基础(二)</t>
  </si>
  <si>
    <t>2016音乐学1班</t>
  </si>
  <si>
    <t>器乐基础（四）</t>
  </si>
  <si>
    <t>2015音乐学1班</t>
  </si>
  <si>
    <t>器乐演奏（二）</t>
  </si>
  <si>
    <t>2016音乐学(专升本)1班</t>
  </si>
  <si>
    <t>张华</t>
  </si>
  <si>
    <t>基础教研部</t>
  </si>
  <si>
    <t>专职</t>
  </si>
  <si>
    <t>工科数学（2）</t>
  </si>
  <si>
    <t>2016通信工程(面向中职)1班</t>
  </si>
  <si>
    <t>2016物联网工程(面向中职)1班</t>
  </si>
  <si>
    <t>2016物联网工程(面向中职)2班</t>
  </si>
  <si>
    <t>王明</t>
  </si>
  <si>
    <t>计算机工程系</t>
  </si>
  <si>
    <t>讲师</t>
  </si>
  <si>
    <t>Visual Basic</t>
  </si>
  <si>
    <t>2015工程管理2班</t>
  </si>
  <si>
    <t>戴伟</t>
  </si>
  <si>
    <t>C语言程序设计</t>
  </si>
  <si>
    <t>2016电信教改试点班1班</t>
  </si>
  <si>
    <t>2016数字媒体技术1班</t>
  </si>
  <si>
    <t>林晓晓</t>
  </si>
  <si>
    <t>文化传播系</t>
  </si>
  <si>
    <t>设计素描</t>
  </si>
  <si>
    <t>2016广告学1班</t>
  </si>
  <si>
    <t>王女</t>
  </si>
  <si>
    <t>法律系</t>
  </si>
  <si>
    <t>经济法（非法学类）</t>
  </si>
  <si>
    <t>2016会计学(专升本)1班</t>
  </si>
  <si>
    <t>2016会计学(专升本)2班</t>
  </si>
  <si>
    <t>经济法（下）</t>
  </si>
  <si>
    <t>2014法学1班</t>
  </si>
  <si>
    <t>2014法学2班</t>
  </si>
  <si>
    <t>带路</t>
  </si>
  <si>
    <t>电子信息工程系</t>
  </si>
  <si>
    <t>助理工程师</t>
  </si>
  <si>
    <t>通信电子电路实验</t>
  </si>
  <si>
    <t>2015电信教改试点班1班</t>
  </si>
  <si>
    <t>2015物联网工程1班</t>
  </si>
  <si>
    <t>专业技能训练（二）</t>
  </si>
  <si>
    <t>2016物联网工程1班</t>
  </si>
  <si>
    <t>2016物联网工程2班</t>
  </si>
  <si>
    <t>黄章华</t>
  </si>
  <si>
    <t>张敏华</t>
  </si>
  <si>
    <t>戴伟敏</t>
  </si>
  <si>
    <t>林晓</t>
  </si>
  <si>
    <t>林怡晓</t>
  </si>
  <si>
    <t>王浩云</t>
  </si>
  <si>
    <t>代路</t>
  </si>
  <si>
    <t>戴路</t>
  </si>
  <si>
    <t>1、对“教职工简表”的数据，将重复的记录删除。</t>
  </si>
  <si>
    <t>教职工简表</t>
  </si>
  <si>
    <t>制表日期：2008-10-21</t>
  </si>
  <si>
    <t>部门</t>
  </si>
  <si>
    <t>职工号</t>
  </si>
  <si>
    <t>性别</t>
  </si>
  <si>
    <t>出生日期</t>
  </si>
  <si>
    <t>基本工资</t>
  </si>
  <si>
    <t>附加工资</t>
  </si>
  <si>
    <t>实发工资</t>
  </si>
  <si>
    <t>计算机系</t>
  </si>
  <si>
    <t>01005</t>
  </si>
  <si>
    <t>郑义</t>
  </si>
  <si>
    <t>男</t>
  </si>
  <si>
    <t>数学系</t>
  </si>
  <si>
    <t>01003</t>
  </si>
  <si>
    <t>郭红</t>
  </si>
  <si>
    <t>女</t>
  </si>
  <si>
    <t>教授</t>
  </si>
  <si>
    <t>01002</t>
  </si>
  <si>
    <t>李立</t>
  </si>
  <si>
    <t>物理系</t>
  </si>
  <si>
    <t>01006</t>
  </si>
  <si>
    <t>张胜</t>
  </si>
  <si>
    <t>01007</t>
  </si>
  <si>
    <t>陈影</t>
  </si>
  <si>
    <t>01004</t>
  </si>
  <si>
    <t>刘璐</t>
  </si>
  <si>
    <t>01001</t>
  </si>
  <si>
    <t>林百</t>
  </si>
  <si>
    <t>1、在“是否为教授”列，使用if函数计算各教师的职称是否为教授。
2、在第二部分数据表中，使用vlookup函数，判断教师姓名是否在第一部分已存在。</t>
  </si>
  <si>
    <t>是否为教授</t>
  </si>
  <si>
    <t>是否已存在</t>
  </si>
  <si>
    <t>是</t>
  </si>
  <si>
    <t>刘勋</t>
  </si>
  <si>
    <t>张颖</t>
  </si>
  <si>
    <t>将“合并1”“合并2”“合并3”工作簿合并成一张，然后将合并后的数据复制到新的Sheet表中。</t>
  </si>
  <si>
    <t>模型名</t>
  </si>
  <si>
    <t>模型ID</t>
  </si>
  <si>
    <t>命令词</t>
  </si>
  <si>
    <t>命令词ID</t>
  </si>
  <si>
    <t>命令词语义ID</t>
  </si>
  <si>
    <t>置信度</t>
  </si>
  <si>
    <t>唤醒词</t>
  </si>
  <si>
    <t>组合词</t>
  </si>
  <si>
    <t>期望词</t>
  </si>
  <si>
    <t>不期望词</t>
  </si>
  <si>
    <t>特殊词计数</t>
  </si>
  <si>
    <t>播报音类型</t>
  </si>
  <si>
    <t>播报音0ID</t>
  </si>
  <si>
    <t>播报音1ID</t>
  </si>
  <si>
    <t>...</t>
  </si>
  <si>
    <t>DNN ID</t>
  </si>
  <si>
    <t>曼波</t>
  </si>
  <si>
    <t>0x00</t>
  </si>
  <si>
    <t>YES</t>
  </si>
  <si>
    <t>NO</t>
  </si>
  <si>
    <t>自定义</t>
  </si>
  <si>
    <t>105</t>
  </si>
  <si>
    <t>ASR ID</t>
  </si>
  <si>
    <t>你好曼波</t>
  </si>
  <si>
    <t>104</t>
  </si>
  <si>
    <t>曼波在吗</t>
  </si>
  <si>
    <t>哈基米</t>
  </si>
  <si>
    <t>你好哈基米</t>
  </si>
  <si>
    <t>哈基米在吗</t>
  </si>
  <si>
    <t>扇风</t>
  </si>
  <si>
    <t>90</t>
  </si>
  <si>
    <t>表白</t>
  </si>
  <si>
    <t>91</t>
  </si>
  <si>
    <t>大声一点</t>
  </si>
  <si>
    <t>0x1E4194F</t>
  </si>
  <si>
    <t>10252</t>
  </si>
  <si>
    <t>中等音量</t>
  </si>
  <si>
    <t>0x1E41A01</t>
  </si>
  <si>
    <t>小声一点</t>
  </si>
  <si>
    <t>0x1E41992</t>
  </si>
  <si>
    <t>前进</t>
  </si>
  <si>
    <t>1</t>
  </si>
  <si>
    <t>后退</t>
  </si>
  <si>
    <t>2</t>
  </si>
  <si>
    <t>左转</t>
  </si>
  <si>
    <t>右转</t>
  </si>
  <si>
    <t>摇摆</t>
  </si>
  <si>
    <t>5</t>
  </si>
  <si>
    <t>趴下</t>
  </si>
  <si>
    <t>6</t>
  </si>
  <si>
    <t>坐下</t>
  </si>
  <si>
    <t>摇尾巴</t>
  </si>
  <si>
    <t>睡觉</t>
  </si>
  <si>
    <t>9</t>
  </si>
  <si>
    <t>快速前进</t>
  </si>
  <si>
    <t>10</t>
  </si>
  <si>
    <t>立正</t>
  </si>
  <si>
    <t>12</t>
  </si>
  <si>
    <t>打招呼</t>
  </si>
  <si>
    <t>14</t>
  </si>
  <si>
    <t>你会做什么</t>
  </si>
  <si>
    <t>0x1E42A49</t>
  </si>
  <si>
    <t>来点音乐</t>
  </si>
  <si>
    <t>0x1E41956</t>
  </si>
  <si>
    <t>60</t>
  </si>
  <si>
    <t>跳舞</t>
  </si>
  <si>
    <t>0x1E41E01</t>
  </si>
  <si>
    <t>17</t>
  </si>
  <si>
    <t>抬头</t>
  </si>
  <si>
    <t>19</t>
  </si>
  <si>
    <t>抬脚</t>
  </si>
  <si>
    <t>0x1E46941</t>
  </si>
  <si>
    <t>伸懒腰</t>
  </si>
  <si>
    <t>扭一扭</t>
  </si>
  <si>
    <t>坐下擦脸</t>
  </si>
  <si>
    <t>撅屁股</t>
  </si>
  <si>
    <t>23</t>
  </si>
  <si>
    <t>自由活动</t>
  </si>
  <si>
    <t>向前跳</t>
  </si>
  <si>
    <t>向后跳</t>
  </si>
  <si>
    <t>滚吧</t>
  </si>
  <si>
    <t>40</t>
  </si>
  <si>
    <t>早上好呀</t>
  </si>
  <si>
    <t>31</t>
  </si>
  <si>
    <t>我心情不好</t>
  </si>
  <si>
    <t>49</t>
  </si>
  <si>
    <t>快速左转</t>
  </si>
  <si>
    <t>41</t>
  </si>
  <si>
    <t>快速右转</t>
  </si>
  <si>
    <t>快速后退</t>
  </si>
  <si>
    <t>38</t>
  </si>
  <si>
    <t>俯卧撑</t>
  </si>
  <si>
    <t>抬屁股</t>
  </si>
  <si>
    <t>快速摇摆</t>
  </si>
  <si>
    <t>来一首生日歌</t>
  </si>
  <si>
    <t>42</t>
  </si>
  <si>
    <t>来一首奇迹再哈</t>
  </si>
  <si>
    <t>43</t>
  </si>
  <si>
    <t>来一首今天你要哈基米</t>
  </si>
  <si>
    <t>44</t>
  </si>
  <si>
    <t>来一首最后一哈</t>
  </si>
  <si>
    <t>45</t>
  </si>
  <si>
    <t>来一首泡哈</t>
  </si>
  <si>
    <t>46</t>
  </si>
  <si>
    <t>来一首往事只能哈基米</t>
  </si>
  <si>
    <t>47</t>
  </si>
  <si>
    <t>来一首蓝莲哈</t>
  </si>
  <si>
    <t>48</t>
  </si>
  <si>
    <t>来一首一二三哈基米</t>
  </si>
  <si>
    <t>来一首海阔天哈</t>
  </si>
  <si>
    <t>50</t>
  </si>
  <si>
    <t>来一首曼波与基米</t>
  </si>
  <si>
    <t>51</t>
  </si>
  <si>
    <t>来一首游哈</t>
  </si>
  <si>
    <t>52</t>
  </si>
  <si>
    <t>来一首青基</t>
  </si>
  <si>
    <t>53</t>
  </si>
  <si>
    <t>来一首哈气之路</t>
  </si>
  <si>
    <t>54</t>
  </si>
  <si>
    <t>来一首风摧雨</t>
  </si>
  <si>
    <t>55</t>
  </si>
  <si>
    <t>来一首弄波得</t>
  </si>
  <si>
    <t>56</t>
  </si>
  <si>
    <t>换一首歌曲</t>
  </si>
  <si>
    <t>&lt;welcome&gt;</t>
  </si>
  <si>
    <t>&lt;inactivate&gt;</t>
  </si>
  <si>
    <t>&lt;beep&gt;</t>
  </si>
  <si>
    <t/>
  </si>
  <si>
    <t>P1</t>
  </si>
  <si>
    <t>noble_id</t>
  </si>
  <si>
    <t>name</t>
  </si>
  <si>
    <t>req_white</t>
  </si>
  <si>
    <t>req_blue</t>
  </si>
  <si>
    <t>req_green</t>
  </si>
  <si>
    <t>req_red</t>
  </si>
  <si>
    <t>req_black</t>
  </si>
  <si>
    <t>贵族1</t>
  </si>
  <si>
    <t>贵族2</t>
  </si>
  <si>
    <t>贵族3</t>
  </si>
  <si>
    <t>贵族4</t>
  </si>
  <si>
    <t>贵族5</t>
  </si>
  <si>
    <t>贵族6</t>
  </si>
  <si>
    <t>贵族7</t>
  </si>
  <si>
    <t>贵族8</t>
  </si>
  <si>
    <t>贵族9</t>
  </si>
  <si>
    <t>贵族10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</si>
</sst>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/m/d;\-;\-;@"/>
    <numFmt numFmtId="178" formatCode="&quot;$&quot;#,##0.00_);[Red]\(&quot;$&quot;#,##0.00\)"/>
  </numFmts>
  <fonts count="31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2"/>
      <color rgb="FF000000"/>
      <name val="宋体"/>
      <charset val="134"/>
    </font>
    <font>
      <sz val="12"/>
      <name val="宋体"/>
      <charset val="134"/>
    </font>
    <font>
      <sz val="16"/>
      <color rgb="FFFF0000"/>
      <name val="宋体"/>
      <charset val="134"/>
    </font>
    <font>
      <sz val="22"/>
      <color theme="1"/>
      <name val="宋体"/>
      <charset val="134"/>
      <scheme val="minor"/>
    </font>
    <font>
      <sz val="10"/>
      <name val="宋体"/>
      <charset val="134"/>
    </font>
    <font>
      <sz val="16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ck">
        <color indexed="1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2" fontId="1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2" borderId="10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3" borderId="13" applyNumberFormat="0" applyAlignment="0" applyProtection="0">
      <alignment vertical="center"/>
    </xf>
    <xf numFmtId="0" fontId="21" fillId="4" borderId="14" applyNumberFormat="0" applyAlignment="0" applyProtection="0">
      <alignment vertical="center"/>
    </xf>
    <xf numFmtId="0" fontId="22" fillId="4" borderId="13" applyNumberFormat="0" applyAlignment="0" applyProtection="0">
      <alignment vertical="center"/>
    </xf>
    <xf numFmtId="0" fontId="23" fillId="5" borderId="15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" fillId="0" borderId="0"/>
  </cellStyleXfs>
  <cellXfs count="37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176" fontId="3" fillId="0" borderId="0" xfId="0" applyNumberFormat="1" applyFont="1" applyFill="1" applyAlignment="1">
      <alignment vertical="center"/>
    </xf>
    <xf numFmtId="17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0" xfId="49" applyFont="1" applyBorder="1"/>
    <xf numFmtId="0" fontId="4" fillId="0" borderId="1" xfId="49" applyFont="1" applyBorder="1" applyAlignment="1">
      <alignment horizontal="left" vertical="center" wrapText="1"/>
    </xf>
    <xf numFmtId="0" fontId="4" fillId="0" borderId="2" xfId="49" applyFont="1" applyBorder="1" applyAlignment="1">
      <alignment horizontal="left" vertical="center"/>
    </xf>
    <xf numFmtId="0" fontId="4" fillId="0" borderId="3" xfId="49" applyFont="1" applyBorder="1" applyAlignment="1">
      <alignment horizontal="left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vertical="center"/>
    </xf>
    <xf numFmtId="0" fontId="7" fillId="0" borderId="1" xfId="49" applyFont="1" applyBorder="1" applyAlignment="1">
      <alignment horizontal="left" vertical="top" wrapText="1"/>
    </xf>
    <xf numFmtId="0" fontId="7" fillId="0" borderId="2" xfId="49" applyFont="1" applyBorder="1" applyAlignment="1">
      <alignment horizontal="left" vertical="top"/>
    </xf>
    <xf numFmtId="0" fontId="7" fillId="0" borderId="3" xfId="49" applyFont="1" applyBorder="1" applyAlignment="1">
      <alignment horizontal="left" vertical="top"/>
    </xf>
    <xf numFmtId="0" fontId="8" fillId="0" borderId="9" xfId="49" applyFont="1" applyBorder="1" applyAlignment="1">
      <alignment horizontal="center" vertical="top"/>
    </xf>
    <xf numFmtId="0" fontId="7" fillId="0" borderId="0" xfId="49" applyFont="1" applyBorder="1" applyAlignment="1">
      <alignment horizontal="left" vertical="top"/>
    </xf>
    <xf numFmtId="0" fontId="9" fillId="0" borderId="0" xfId="49" applyFont="1" applyFill="1" applyBorder="1" applyAlignment="1">
      <alignment horizontal="center" vertical="center"/>
    </xf>
    <xf numFmtId="14" fontId="10" fillId="0" borderId="0" xfId="49" applyNumberFormat="1" applyFont="1" applyBorder="1" applyAlignment="1">
      <alignment horizontal="center" vertical="center"/>
    </xf>
    <xf numFmtId="0" fontId="10" fillId="0" borderId="0" xfId="49" applyFont="1" applyFill="1" applyBorder="1" applyAlignment="1">
      <alignment horizontal="center" vertical="center"/>
    </xf>
    <xf numFmtId="178" fontId="10" fillId="0" borderId="0" xfId="49" applyNumberFormat="1" applyFont="1" applyFill="1" applyBorder="1" applyAlignment="1">
      <alignment horizontal="center" vertical="center"/>
    </xf>
    <xf numFmtId="0" fontId="3" fillId="0" borderId="0" xfId="0" applyFont="1" applyFill="1" applyAlignment="1" quotePrefix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26.5同时使用“关系与”和“关系或”高级筛选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&#21150;&#20844;&#33258;&#21160;&#21270;\&#21150;&#20844;&#36719;&#20214;&#39640;&#32423;&#24212;&#29992;office 2010\&#31532;5&#31456; &#25968;&#25454;&#31649;&#29702;&#19982;&#20998;&#26512;\Excel&#23454;&#2036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Excel&#24212;&#29992;&#22823;&#20840;\&#35838;&#20214;\&#21442;&#32771;\Excel 2003\Excel &#23454;&#39564;-3\&#20844;&#24335;&#21644;&#20989;&#25968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进货清单"/>
      <sheetName val="销售清单"/>
      <sheetName val="库存清单"/>
      <sheetName val="销售统计"/>
      <sheetName val="分类统计报表"/>
      <sheetName val="分类统计图表"/>
      <sheetName val="商品资料"/>
      <sheetName val="客户资料"/>
      <sheetName val="其它资料设置"/>
      <sheetName val="数组常数"/>
      <sheetName val="贷款偿还表"/>
      <sheetName val="项目投资表"/>
      <sheetName val="固定资产折旧表"/>
      <sheetName val="Sheet1"/>
      <sheetName val="Sheet2"/>
      <sheetName val="Sheet3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混合引用1-缴税"/>
      <sheetName val="混合引用2-报刊"/>
      <sheetName val="跨工作表引用"/>
      <sheetName val="函数1-学生成绩表"/>
      <sheetName val="函数2-学生成绩表"/>
      <sheetName val="函数3-工资"/>
      <sheetName val="函数4-及格率"/>
      <sheetName val="混合引用3-学生比例)"/>
      <sheetName val="保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7"/>
  <sheetViews>
    <sheetView workbookViewId="0">
      <pane ySplit="3" topLeftCell="A4" activePane="bottomLeft" state="frozen"/>
      <selection/>
      <selection pane="bottomLeft" activeCell="E7" sqref="E7"/>
    </sheetView>
  </sheetViews>
  <sheetFormatPr defaultColWidth="9.81818181818182" defaultRowHeight="18" customHeight="1" outlineLevelCol="6"/>
  <cols>
    <col min="1" max="16384" width="9.81818181818182" style="21"/>
  </cols>
  <sheetData>
    <row r="1" ht="50.45" customHeight="1" spans="1:7">
      <c r="A1" s="28" t="s">
        <v>0</v>
      </c>
      <c r="B1" s="29"/>
      <c r="C1" s="29"/>
      <c r="D1" s="29"/>
      <c r="E1" s="29"/>
      <c r="F1" s="29"/>
      <c r="G1" s="30"/>
    </row>
    <row r="2" ht="28.5" customHeight="1" spans="1:7">
      <c r="A2" s="31" t="s">
        <v>1</v>
      </c>
      <c r="B2" s="31"/>
      <c r="C2" s="31"/>
      <c r="D2" s="31"/>
      <c r="E2" s="32"/>
      <c r="F2" s="32"/>
      <c r="G2" s="32"/>
    </row>
    <row r="3" customHeight="1" spans="1:7">
      <c r="A3" s="33" t="s">
        <v>2</v>
      </c>
      <c r="B3" s="33" t="s">
        <v>3</v>
      </c>
      <c r="C3" s="33" t="s">
        <v>4</v>
      </c>
      <c r="D3" s="33" t="s">
        <v>5</v>
      </c>
    </row>
    <row r="4" customHeight="1" spans="1:7">
      <c r="A4" s="34">
        <v>38718</v>
      </c>
      <c r="B4" s="35" t="s">
        <v>6</v>
      </c>
      <c r="C4" s="35" t="s">
        <v>7</v>
      </c>
      <c r="D4" s="36">
        <v>302</v>
      </c>
    </row>
    <row r="5" customHeight="1" spans="1:7">
      <c r="A5" s="34">
        <v>38720</v>
      </c>
      <c r="B5" s="35" t="s">
        <v>8</v>
      </c>
      <c r="C5" s="35" t="s">
        <v>9</v>
      </c>
      <c r="D5" s="36">
        <v>293</v>
      </c>
    </row>
    <row r="6" customHeight="1" spans="1:7">
      <c r="A6" s="34">
        <v>38720</v>
      </c>
      <c r="B6" s="35" t="s">
        <v>10</v>
      </c>
      <c r="C6" s="35" t="s">
        <v>11</v>
      </c>
      <c r="D6" s="36">
        <v>150</v>
      </c>
    </row>
    <row r="7" customHeight="1" spans="1:7">
      <c r="A7" s="34">
        <v>38720</v>
      </c>
      <c r="B7" s="35" t="s">
        <v>12</v>
      </c>
      <c r="C7" s="35" t="s">
        <v>11</v>
      </c>
      <c r="D7" s="36">
        <v>530</v>
      </c>
    </row>
    <row r="8" customHeight="1" spans="1:7">
      <c r="A8" s="34">
        <v>38721</v>
      </c>
      <c r="B8" s="35" t="s">
        <v>6</v>
      </c>
      <c r="C8" s="35" t="s">
        <v>13</v>
      </c>
      <c r="D8" s="36">
        <v>223</v>
      </c>
    </row>
    <row r="9" customHeight="1" spans="1:7">
      <c r="A9" s="34">
        <v>38728</v>
      </c>
      <c r="B9" s="35" t="s">
        <v>12</v>
      </c>
      <c r="C9" s="35" t="s">
        <v>11</v>
      </c>
      <c r="D9" s="36">
        <v>585</v>
      </c>
    </row>
    <row r="10" customHeight="1" spans="1:7">
      <c r="A10" s="34">
        <v>38728</v>
      </c>
      <c r="B10" s="35" t="s">
        <v>6</v>
      </c>
      <c r="C10" s="35" t="s">
        <v>13</v>
      </c>
      <c r="D10" s="36">
        <v>0</v>
      </c>
    </row>
    <row r="11" customHeight="1" spans="1:7">
      <c r="A11" s="34">
        <v>38735</v>
      </c>
      <c r="B11" s="35" t="s">
        <v>8</v>
      </c>
      <c r="C11" s="35" t="s">
        <v>11</v>
      </c>
      <c r="D11" s="36">
        <v>876</v>
      </c>
    </row>
    <row r="12" customHeight="1" spans="1:7">
      <c r="A12" s="34">
        <v>38737</v>
      </c>
      <c r="B12" s="35" t="s">
        <v>6</v>
      </c>
      <c r="C12" s="35" t="s">
        <v>13</v>
      </c>
      <c r="D12" s="36">
        <v>478</v>
      </c>
    </row>
    <row r="13" customHeight="1" spans="1:7">
      <c r="A13" s="34">
        <v>38737</v>
      </c>
      <c r="B13" s="35" t="s">
        <v>6</v>
      </c>
      <c r="C13" s="35" t="s">
        <v>14</v>
      </c>
      <c r="D13" s="36">
        <v>191</v>
      </c>
    </row>
    <row r="14" customHeight="1" spans="1:7">
      <c r="A14" s="34">
        <v>38738</v>
      </c>
      <c r="B14" s="35" t="s">
        <v>6</v>
      </c>
      <c r="C14" s="35" t="s">
        <v>15</v>
      </c>
      <c r="D14" s="36">
        <v>684</v>
      </c>
    </row>
    <row r="15" customHeight="1" spans="1:7">
      <c r="A15" s="34">
        <v>38738</v>
      </c>
      <c r="B15" s="35" t="s">
        <v>12</v>
      </c>
      <c r="C15" s="35" t="s">
        <v>11</v>
      </c>
      <c r="D15" s="36">
        <v>747</v>
      </c>
    </row>
    <row r="16" customHeight="1" spans="1:7">
      <c r="A16" s="34">
        <v>38742</v>
      </c>
      <c r="B16" s="35" t="s">
        <v>6</v>
      </c>
      <c r="C16" s="35" t="s">
        <v>13</v>
      </c>
      <c r="D16" s="36">
        <v>614</v>
      </c>
    </row>
    <row r="17" customHeight="1" spans="1:4">
      <c r="A17" s="34">
        <v>38742</v>
      </c>
      <c r="B17" s="35" t="s">
        <v>8</v>
      </c>
      <c r="C17" s="35" t="s">
        <v>15</v>
      </c>
      <c r="D17" s="36">
        <v>782</v>
      </c>
    </row>
    <row r="18" customHeight="1" spans="1:4">
      <c r="A18" s="34">
        <v>38743</v>
      </c>
      <c r="B18" s="35" t="s">
        <v>8</v>
      </c>
      <c r="C18" s="35" t="s">
        <v>14</v>
      </c>
      <c r="D18" s="36">
        <v>162</v>
      </c>
    </row>
    <row r="19" customHeight="1" spans="1:4">
      <c r="A19" s="34">
        <v>38743</v>
      </c>
      <c r="B19" s="35" t="s">
        <v>8</v>
      </c>
      <c r="C19" s="35" t="s">
        <v>11</v>
      </c>
      <c r="D19" s="36">
        <v>808</v>
      </c>
    </row>
    <row r="20" customHeight="1" spans="1:4">
      <c r="A20" s="34">
        <v>38751</v>
      </c>
      <c r="B20" s="35" t="s">
        <v>10</v>
      </c>
      <c r="C20" s="35" t="s">
        <v>13</v>
      </c>
      <c r="D20" s="36">
        <v>203</v>
      </c>
    </row>
    <row r="21" customHeight="1" spans="1:4">
      <c r="A21" s="34">
        <v>38751</v>
      </c>
      <c r="B21" s="35" t="s">
        <v>8</v>
      </c>
      <c r="C21" s="35" t="s">
        <v>14</v>
      </c>
      <c r="D21" s="36">
        <v>957</v>
      </c>
    </row>
    <row r="22" customHeight="1" spans="1:4">
      <c r="A22" s="34">
        <v>38752</v>
      </c>
      <c r="B22" s="35" t="s">
        <v>8</v>
      </c>
      <c r="C22" s="35" t="s">
        <v>16</v>
      </c>
      <c r="D22" s="36">
        <v>66</v>
      </c>
    </row>
    <row r="23" customHeight="1" spans="1:4">
      <c r="A23" s="34">
        <v>38755</v>
      </c>
      <c r="B23" s="35" t="s">
        <v>8</v>
      </c>
      <c r="C23" s="35" t="s">
        <v>13</v>
      </c>
      <c r="D23" s="36">
        <v>62</v>
      </c>
    </row>
    <row r="24" customHeight="1" spans="1:4">
      <c r="A24" s="34">
        <v>38756</v>
      </c>
      <c r="B24" s="35" t="s">
        <v>8</v>
      </c>
      <c r="C24" s="35" t="s">
        <v>14</v>
      </c>
      <c r="D24" s="36">
        <v>793</v>
      </c>
    </row>
    <row r="25" customHeight="1" spans="1:4">
      <c r="A25" s="34">
        <v>38765</v>
      </c>
      <c r="B25" s="35" t="s">
        <v>6</v>
      </c>
      <c r="C25" s="35" t="s">
        <v>15</v>
      </c>
      <c r="D25" s="36">
        <v>380</v>
      </c>
    </row>
    <row r="26" customHeight="1" spans="1:4">
      <c r="A26" s="34">
        <v>38765</v>
      </c>
      <c r="B26" s="35" t="s">
        <v>8</v>
      </c>
      <c r="C26" s="35" t="s">
        <v>14</v>
      </c>
      <c r="D26" s="36">
        <v>464</v>
      </c>
    </row>
    <row r="27" customHeight="1" spans="1:4">
      <c r="A27" s="34">
        <v>38770</v>
      </c>
      <c r="B27" s="35" t="s">
        <v>6</v>
      </c>
      <c r="C27" s="35" t="s">
        <v>15</v>
      </c>
      <c r="D27" s="36">
        <v>120</v>
      </c>
    </row>
    <row r="28" customHeight="1" spans="1:4">
      <c r="A28" s="34">
        <v>38771</v>
      </c>
      <c r="B28" s="35" t="s">
        <v>8</v>
      </c>
      <c r="C28" s="35" t="s">
        <v>13</v>
      </c>
      <c r="D28" s="36">
        <v>115</v>
      </c>
    </row>
    <row r="29" customHeight="1" spans="1:4">
      <c r="A29" s="34">
        <v>38771</v>
      </c>
      <c r="B29" s="35" t="s">
        <v>6</v>
      </c>
      <c r="C29" s="35" t="s">
        <v>14</v>
      </c>
      <c r="D29" s="36">
        <v>174</v>
      </c>
    </row>
    <row r="30" customHeight="1" spans="1:4">
      <c r="A30" s="34">
        <v>38776</v>
      </c>
      <c r="B30" s="35" t="s">
        <v>6</v>
      </c>
      <c r="C30" s="35" t="s">
        <v>13</v>
      </c>
      <c r="D30" s="36">
        <v>48</v>
      </c>
    </row>
    <row r="31" customHeight="1" spans="1:4">
      <c r="A31" s="34">
        <v>38778</v>
      </c>
      <c r="B31" s="35" t="s">
        <v>6</v>
      </c>
      <c r="C31" s="35" t="s">
        <v>13</v>
      </c>
      <c r="D31" s="36">
        <v>715</v>
      </c>
    </row>
    <row r="32" customHeight="1" spans="1:4">
      <c r="A32" s="34">
        <v>38780</v>
      </c>
      <c r="B32" s="35" t="s">
        <v>8</v>
      </c>
      <c r="C32" s="35" t="s">
        <v>11</v>
      </c>
      <c r="D32" s="36">
        <v>533</v>
      </c>
    </row>
    <row r="33" customHeight="1" spans="1:4">
      <c r="A33" s="34">
        <v>38780</v>
      </c>
      <c r="B33" s="35" t="s">
        <v>12</v>
      </c>
      <c r="C33" s="35" t="s">
        <v>15</v>
      </c>
      <c r="D33" s="36">
        <v>561</v>
      </c>
    </row>
    <row r="34" customHeight="1" spans="1:4">
      <c r="A34" s="34">
        <v>38780</v>
      </c>
      <c r="B34" s="35" t="s">
        <v>8</v>
      </c>
      <c r="C34" s="35" t="s">
        <v>9</v>
      </c>
      <c r="D34" s="36">
        <v>217</v>
      </c>
    </row>
    <row r="35" customHeight="1" spans="1:4">
      <c r="A35" s="34">
        <v>38781</v>
      </c>
      <c r="B35" s="35" t="s">
        <v>6</v>
      </c>
      <c r="C35" s="35" t="s">
        <v>13</v>
      </c>
      <c r="D35" s="36">
        <v>468</v>
      </c>
    </row>
    <row r="36" customHeight="1" spans="1:4">
      <c r="A36" s="34">
        <v>38788</v>
      </c>
      <c r="B36" s="35" t="s">
        <v>12</v>
      </c>
      <c r="C36" s="35" t="s">
        <v>11</v>
      </c>
      <c r="D36" s="36">
        <v>746</v>
      </c>
    </row>
    <row r="37" customHeight="1" spans="1:4">
      <c r="A37" s="34">
        <v>38788</v>
      </c>
      <c r="B37" s="35" t="s">
        <v>6</v>
      </c>
      <c r="C37" s="35" t="s">
        <v>16</v>
      </c>
      <c r="D37" s="36">
        <v>752</v>
      </c>
    </row>
    <row r="38" customHeight="1" spans="1:4">
      <c r="A38" s="34">
        <v>38795</v>
      </c>
      <c r="B38" s="35" t="s">
        <v>6</v>
      </c>
      <c r="C38" s="35" t="s">
        <v>11</v>
      </c>
      <c r="D38" s="36">
        <v>399</v>
      </c>
    </row>
    <row r="39" customHeight="1" spans="1:4">
      <c r="A39" s="34">
        <v>38797</v>
      </c>
      <c r="B39" s="35" t="s">
        <v>6</v>
      </c>
      <c r="C39" s="35" t="s">
        <v>14</v>
      </c>
      <c r="D39" s="36">
        <v>903</v>
      </c>
    </row>
    <row r="40" customHeight="1" spans="1:4">
      <c r="A40" s="34">
        <v>38797</v>
      </c>
      <c r="B40" s="35" t="s">
        <v>6</v>
      </c>
      <c r="C40" s="35" t="s">
        <v>13</v>
      </c>
      <c r="D40" s="36">
        <v>746</v>
      </c>
    </row>
    <row r="41" customHeight="1" spans="1:4">
      <c r="A41" s="34">
        <v>38798</v>
      </c>
      <c r="B41" s="35" t="s">
        <v>10</v>
      </c>
      <c r="C41" s="35" t="s">
        <v>11</v>
      </c>
      <c r="D41" s="36">
        <v>89</v>
      </c>
    </row>
    <row r="42" customHeight="1" spans="1:4">
      <c r="A42" s="34">
        <v>38798</v>
      </c>
      <c r="B42" s="35" t="s">
        <v>8</v>
      </c>
      <c r="C42" s="35" t="s">
        <v>15</v>
      </c>
      <c r="D42" s="36">
        <v>635</v>
      </c>
    </row>
    <row r="43" customHeight="1" spans="1:4">
      <c r="A43" s="34">
        <v>38802</v>
      </c>
      <c r="B43" s="35" t="s">
        <v>8</v>
      </c>
      <c r="C43" s="35" t="s">
        <v>16</v>
      </c>
      <c r="D43" s="36">
        <v>713</v>
      </c>
    </row>
    <row r="44" customHeight="1" spans="1:4">
      <c r="A44" s="34">
        <v>38802</v>
      </c>
      <c r="B44" s="35" t="s">
        <v>8</v>
      </c>
      <c r="C44" s="35" t="s">
        <v>13</v>
      </c>
      <c r="D44" s="36">
        <v>16</v>
      </c>
    </row>
    <row r="45" customHeight="1" spans="1:4">
      <c r="A45" s="34">
        <v>38803</v>
      </c>
      <c r="B45" s="35" t="s">
        <v>8</v>
      </c>
      <c r="C45" s="35" t="s">
        <v>11</v>
      </c>
      <c r="D45" s="36">
        <v>431</v>
      </c>
    </row>
    <row r="46" customHeight="1" spans="1:4">
      <c r="A46" s="34">
        <v>38803</v>
      </c>
      <c r="B46" s="35" t="s">
        <v>6</v>
      </c>
      <c r="C46" s="35" t="s">
        <v>14</v>
      </c>
      <c r="D46" s="36">
        <v>402</v>
      </c>
    </row>
    <row r="47" customHeight="1" spans="1:4">
      <c r="A47" s="34">
        <v>38811</v>
      </c>
      <c r="B47" s="35" t="s">
        <v>12</v>
      </c>
      <c r="C47" s="35" t="s">
        <v>14</v>
      </c>
      <c r="D47" s="36">
        <v>275</v>
      </c>
    </row>
    <row r="48" customHeight="1" spans="1:4">
      <c r="A48" s="34">
        <v>38811</v>
      </c>
      <c r="B48" s="35" t="s">
        <v>6</v>
      </c>
      <c r="C48" s="35" t="s">
        <v>13</v>
      </c>
      <c r="D48" s="36">
        <v>985</v>
      </c>
    </row>
    <row r="49" customHeight="1" spans="1:4">
      <c r="A49" s="34">
        <v>38812</v>
      </c>
      <c r="B49" s="35" t="s">
        <v>8</v>
      </c>
      <c r="C49" s="35" t="s">
        <v>9</v>
      </c>
      <c r="D49" s="36">
        <v>803</v>
      </c>
    </row>
    <row r="50" customHeight="1" spans="1:4">
      <c r="A50" s="34">
        <v>38815</v>
      </c>
      <c r="B50" s="35" t="s">
        <v>8</v>
      </c>
      <c r="C50" s="35" t="s">
        <v>13</v>
      </c>
      <c r="D50" s="36">
        <v>696</v>
      </c>
    </row>
    <row r="51" customHeight="1" spans="1:4">
      <c r="A51" s="34">
        <v>38816</v>
      </c>
      <c r="B51" s="35" t="s">
        <v>8</v>
      </c>
      <c r="C51" s="35" t="s">
        <v>14</v>
      </c>
      <c r="D51" s="36">
        <v>418</v>
      </c>
    </row>
    <row r="52" customHeight="1" spans="1:4">
      <c r="A52" s="34">
        <v>38825</v>
      </c>
      <c r="B52" s="35" t="s">
        <v>6</v>
      </c>
      <c r="C52" s="35" t="s">
        <v>14</v>
      </c>
      <c r="D52" s="36">
        <v>734</v>
      </c>
    </row>
    <row r="53" customHeight="1" spans="1:4">
      <c r="A53" s="34">
        <v>38825</v>
      </c>
      <c r="B53" s="35" t="s">
        <v>6</v>
      </c>
      <c r="C53" s="35" t="s">
        <v>15</v>
      </c>
      <c r="D53" s="36">
        <v>277</v>
      </c>
    </row>
    <row r="54" customHeight="1" spans="1:4">
      <c r="A54" s="34">
        <v>38830</v>
      </c>
      <c r="B54" s="35" t="s">
        <v>8</v>
      </c>
      <c r="C54" s="35" t="s">
        <v>15</v>
      </c>
      <c r="D54" s="36">
        <v>357</v>
      </c>
    </row>
    <row r="55" customHeight="1" spans="1:4">
      <c r="A55" s="34">
        <v>38831</v>
      </c>
      <c r="B55" s="35" t="s">
        <v>10</v>
      </c>
      <c r="C55" s="35" t="s">
        <v>14</v>
      </c>
      <c r="D55" s="36">
        <v>433</v>
      </c>
    </row>
    <row r="56" customHeight="1" spans="1:4">
      <c r="A56" s="34">
        <v>38831</v>
      </c>
      <c r="B56" s="35" t="s">
        <v>6</v>
      </c>
      <c r="C56" s="35" t="s">
        <v>13</v>
      </c>
      <c r="D56" s="36">
        <v>945</v>
      </c>
    </row>
    <row r="57" customHeight="1" spans="1:4">
      <c r="A57" s="34">
        <v>38836</v>
      </c>
      <c r="B57" s="35" t="s">
        <v>8</v>
      </c>
      <c r="C57" s="35" t="s">
        <v>7</v>
      </c>
      <c r="D57" s="36">
        <v>122</v>
      </c>
    </row>
  </sheetData>
  <mergeCells count="2">
    <mergeCell ref="A1:G1"/>
    <mergeCell ref="A2:D2"/>
  </mergeCells>
  <pageMargins left="0.748031496062992" right="0.748031496062992" top="0.984251968503937" bottom="0.984251968503937" header="0.511811023622047" footer="0.511811023622047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workbookViewId="0">
      <selection activeCell="E1" sqref="E1:E6"/>
    </sheetView>
  </sheetViews>
  <sheetFormatPr defaultColWidth="9.81818181818182" defaultRowHeight="15" outlineLevelCol="1"/>
  <cols>
    <col min="1" max="1" width="22.0909090909091" style="4" customWidth="1"/>
    <col min="2" max="2" width="10.2272727272727" style="4" customWidth="1"/>
    <col min="3" max="16384" width="9.81818181818182" style="4"/>
  </cols>
  <sheetData>
    <row r="1" spans="1:2">
      <c r="A1" s="4" t="s">
        <v>17</v>
      </c>
      <c r="B1" s="8" t="s">
        <v>18</v>
      </c>
    </row>
    <row r="2" spans="1:2">
      <c r="A2" s="27" t="s">
        <v>19</v>
      </c>
      <c r="B2" s="4">
        <v>20010203</v>
      </c>
    </row>
    <row r="3" spans="1:2">
      <c r="A3" s="27" t="s">
        <v>20</v>
      </c>
      <c r="B3" s="4">
        <v>20021201</v>
      </c>
    </row>
    <row r="4" spans="1:2">
      <c r="A4" s="27" t="s">
        <v>21</v>
      </c>
      <c r="B4" s="4">
        <v>20030420</v>
      </c>
    </row>
    <row r="5" spans="1:2">
      <c r="A5" s="27" t="s">
        <v>22</v>
      </c>
      <c r="B5" s="4">
        <v>19980504</v>
      </c>
    </row>
    <row r="6" spans="1:2">
      <c r="A6" s="27" t="s">
        <v>23</v>
      </c>
      <c r="B6" s="4">
        <v>20021217</v>
      </c>
    </row>
    <row r="7" spans="1:2">
      <c r="A7" s="27" t="s">
        <v>24</v>
      </c>
      <c r="B7" s="4">
        <v>19990208</v>
      </c>
    </row>
    <row r="8" spans="1:2">
      <c r="A8" s="27" t="s">
        <v>25</v>
      </c>
      <c r="B8" s="4">
        <v>19980709</v>
      </c>
    </row>
    <row r="9" spans="1:2">
      <c r="A9" s="27" t="s">
        <v>26</v>
      </c>
      <c r="B9" s="4">
        <v>20008210</v>
      </c>
    </row>
    <row r="10" spans="1:2">
      <c r="A10" s="27" t="s">
        <v>27</v>
      </c>
      <c r="B10" s="4">
        <v>20030315</v>
      </c>
    </row>
    <row r="11" spans="1:2">
      <c r="A11" s="27" t="s">
        <v>28</v>
      </c>
      <c r="B11" s="4">
        <v>19991112</v>
      </c>
    </row>
    <row r="12" spans="1:2">
      <c r="A12" s="27" t="s">
        <v>29</v>
      </c>
      <c r="B12" s="4">
        <v>20010808</v>
      </c>
    </row>
    <row r="13" spans="1:2">
      <c r="A13" s="27" t="s">
        <v>30</v>
      </c>
      <c r="B13" s="4">
        <v>20000702</v>
      </c>
    </row>
    <row r="14" spans="1:2">
      <c r="A14" s="27" t="s">
        <v>31</v>
      </c>
      <c r="B14" s="4">
        <v>20010607</v>
      </c>
    </row>
    <row r="15" spans="1:2">
      <c r="A15" s="27" t="s">
        <v>32</v>
      </c>
      <c r="B15" s="4">
        <v>20010416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4"/>
  <sheetViews>
    <sheetView workbookViewId="0">
      <selection activeCell="A7" sqref="A7:E12 A14:E15 A18:E18 A20:E20 A22:E24 A26:E33"/>
    </sheetView>
  </sheetViews>
  <sheetFormatPr defaultColWidth="9.81818181818182" defaultRowHeight="15"/>
  <cols>
    <col min="1" max="2" width="9.81818181818182" style="4"/>
    <col min="3" max="3" width="20.4545454545455" style="4" customWidth="1"/>
    <col min="4" max="5" width="9.81818181818182" style="4"/>
    <col min="6" max="6" width="25.2272727272727" style="4" customWidth="1"/>
    <col min="7" max="7" width="32.8636363636364" style="4" customWidth="1"/>
    <col min="8" max="16384" width="9.81818181818182" style="4"/>
  </cols>
  <sheetData>
    <row r="1" s="21" customFormat="1" ht="99" customHeight="1" spans="1:11">
      <c r="A1" s="22" t="s">
        <v>33</v>
      </c>
      <c r="B1" s="23"/>
      <c r="C1" s="23"/>
      <c r="D1" s="23"/>
      <c r="E1" s="23"/>
      <c r="F1" s="23"/>
      <c r="G1" s="24"/>
    </row>
    <row r="3" ht="27.5" spans="1:11">
      <c r="A3" s="14" t="s">
        <v>34</v>
      </c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1">
      <c r="A4" s="15" t="s">
        <v>35</v>
      </c>
      <c r="B4" s="15" t="s">
        <v>36</v>
      </c>
      <c r="C4" s="15" t="s">
        <v>37</v>
      </c>
      <c r="D4" s="15" t="s">
        <v>38</v>
      </c>
      <c r="E4" s="15" t="s">
        <v>39</v>
      </c>
      <c r="F4" s="15" t="s">
        <v>40</v>
      </c>
      <c r="G4" s="16" t="s">
        <v>41</v>
      </c>
      <c r="H4" s="16" t="s">
        <v>42</v>
      </c>
      <c r="I4" s="16" t="s">
        <v>43</v>
      </c>
      <c r="J4" s="16" t="s">
        <v>44</v>
      </c>
      <c r="K4" s="15" t="s">
        <v>45</v>
      </c>
    </row>
    <row r="5" spans="1:11">
      <c r="A5" s="25">
        <v>1</v>
      </c>
      <c r="B5" s="25" t="s">
        <v>46</v>
      </c>
      <c r="C5" s="25" t="s">
        <v>47</v>
      </c>
      <c r="D5" s="25" t="s">
        <v>48</v>
      </c>
      <c r="E5" s="25" t="s">
        <v>49</v>
      </c>
      <c r="F5" s="15" t="s">
        <v>50</v>
      </c>
      <c r="G5" s="15" t="s">
        <v>51</v>
      </c>
      <c r="H5" s="17">
        <v>2</v>
      </c>
      <c r="I5" s="17">
        <v>99.45</v>
      </c>
      <c r="J5" s="15">
        <v>99.45</v>
      </c>
      <c r="K5" s="15">
        <v>99.45</v>
      </c>
    </row>
    <row r="6" spans="1:11">
      <c r="A6" s="25">
        <v>2</v>
      </c>
      <c r="B6" s="25" t="s">
        <v>52</v>
      </c>
      <c r="C6" s="25" t="s">
        <v>47</v>
      </c>
      <c r="D6" s="25" t="s">
        <v>53</v>
      </c>
      <c r="E6" s="25" t="s">
        <v>49</v>
      </c>
      <c r="F6" s="15" t="s">
        <v>54</v>
      </c>
      <c r="G6" s="15" t="s">
        <v>51</v>
      </c>
      <c r="H6" s="17">
        <v>2</v>
      </c>
      <c r="I6" s="17">
        <v>99.85</v>
      </c>
      <c r="J6" s="15">
        <v>97.97</v>
      </c>
      <c r="K6" s="15">
        <v>98.22</v>
      </c>
    </row>
    <row r="7" spans="1:11">
      <c r="A7" s="25">
        <f t="shared" ref="A7:A12" si="0">A6</f>
        <v>2</v>
      </c>
      <c r="B7" s="25" t="str">
        <f t="shared" ref="B7:B12" si="1">B6</f>
        <v>黄章</v>
      </c>
      <c r="C7" s="25" t="str">
        <f t="shared" ref="C7:C12" si="2">C6</f>
        <v>艺术系</v>
      </c>
      <c r="D7" s="25" t="str">
        <f t="shared" ref="D7:D12" si="3">D6</f>
        <v>副教授</v>
      </c>
      <c r="E7" s="25" t="str">
        <f t="shared" ref="E7:E12" si="4">E6</f>
        <v>外聘</v>
      </c>
      <c r="F7" s="15" t="s">
        <v>54</v>
      </c>
      <c r="G7" s="15" t="s">
        <v>55</v>
      </c>
      <c r="H7" s="17">
        <v>1</v>
      </c>
      <c r="I7" s="17">
        <v>94.2</v>
      </c>
      <c r="J7" s="15">
        <v>97.97</v>
      </c>
      <c r="K7" s="15">
        <v>98.22</v>
      </c>
    </row>
    <row r="8" spans="1:11">
      <c r="A8" s="25">
        <f t="shared" si="0"/>
        <v>2</v>
      </c>
      <c r="B8" s="25" t="str">
        <f t="shared" si="1"/>
        <v>黄章</v>
      </c>
      <c r="C8" s="25" t="str">
        <f t="shared" si="2"/>
        <v>艺术系</v>
      </c>
      <c r="D8" s="25" t="str">
        <f t="shared" si="3"/>
        <v>副教授</v>
      </c>
      <c r="E8" s="25" t="str">
        <f t="shared" si="4"/>
        <v>外聘</v>
      </c>
      <c r="F8" s="15" t="s">
        <v>56</v>
      </c>
      <c r="G8" s="15" t="s">
        <v>57</v>
      </c>
      <c r="H8" s="17">
        <v>1</v>
      </c>
      <c r="I8" s="17">
        <v>99</v>
      </c>
      <c r="J8" s="15">
        <v>99</v>
      </c>
      <c r="K8" s="15">
        <v>98.22</v>
      </c>
    </row>
    <row r="9" spans="1:11">
      <c r="A9" s="25">
        <f t="shared" si="0"/>
        <v>2</v>
      </c>
      <c r="B9" s="25" t="str">
        <f t="shared" si="1"/>
        <v>黄章</v>
      </c>
      <c r="C9" s="25" t="str">
        <f t="shared" si="2"/>
        <v>艺术系</v>
      </c>
      <c r="D9" s="25" t="str">
        <f t="shared" si="3"/>
        <v>副教授</v>
      </c>
      <c r="E9" s="25" t="str">
        <f t="shared" si="4"/>
        <v>外聘</v>
      </c>
      <c r="F9" s="15" t="s">
        <v>58</v>
      </c>
      <c r="G9" s="15" t="s">
        <v>51</v>
      </c>
      <c r="H9" s="17">
        <v>1</v>
      </c>
      <c r="I9" s="17">
        <v>99</v>
      </c>
      <c r="J9" s="15">
        <v>97.72</v>
      </c>
      <c r="K9" s="15">
        <v>98.22</v>
      </c>
    </row>
    <row r="10" spans="1:11">
      <c r="A10" s="25">
        <f t="shared" si="0"/>
        <v>2</v>
      </c>
      <c r="B10" s="25" t="str">
        <f t="shared" si="1"/>
        <v>黄章</v>
      </c>
      <c r="C10" s="25" t="str">
        <f t="shared" si="2"/>
        <v>艺术系</v>
      </c>
      <c r="D10" s="25" t="str">
        <f t="shared" si="3"/>
        <v>副教授</v>
      </c>
      <c r="E10" s="25" t="str">
        <f t="shared" si="4"/>
        <v>外聘</v>
      </c>
      <c r="F10" s="15" t="s">
        <v>58</v>
      </c>
      <c r="G10" s="15" t="s">
        <v>59</v>
      </c>
      <c r="H10" s="17">
        <v>4</v>
      </c>
      <c r="I10" s="17">
        <v>97.4</v>
      </c>
      <c r="J10" s="15">
        <v>97.72</v>
      </c>
      <c r="K10" s="15">
        <v>98.22</v>
      </c>
    </row>
    <row r="11" spans="1:11">
      <c r="A11" s="25">
        <f t="shared" si="0"/>
        <v>2</v>
      </c>
      <c r="B11" s="25" t="str">
        <f t="shared" si="1"/>
        <v>黄章</v>
      </c>
      <c r="C11" s="25" t="str">
        <f t="shared" si="2"/>
        <v>艺术系</v>
      </c>
      <c r="D11" s="25" t="str">
        <f t="shared" si="3"/>
        <v>副教授</v>
      </c>
      <c r="E11" s="25" t="str">
        <f t="shared" si="4"/>
        <v>外聘</v>
      </c>
      <c r="F11" s="15" t="s">
        <v>60</v>
      </c>
      <c r="G11" s="15" t="s">
        <v>61</v>
      </c>
      <c r="H11" s="17">
        <v>2</v>
      </c>
      <c r="I11" s="17">
        <v>97.43</v>
      </c>
      <c r="J11" s="15">
        <v>97.43</v>
      </c>
      <c r="K11" s="15">
        <v>98.22</v>
      </c>
    </row>
    <row r="12" spans="1:11">
      <c r="A12" s="25">
        <f t="shared" si="0"/>
        <v>2</v>
      </c>
      <c r="B12" s="25" t="str">
        <f t="shared" si="1"/>
        <v>黄章</v>
      </c>
      <c r="C12" s="25" t="str">
        <f t="shared" si="2"/>
        <v>艺术系</v>
      </c>
      <c r="D12" s="25" t="str">
        <f t="shared" si="3"/>
        <v>副教授</v>
      </c>
      <c r="E12" s="25" t="str">
        <f t="shared" si="4"/>
        <v>外聘</v>
      </c>
      <c r="F12" s="15" t="s">
        <v>62</v>
      </c>
      <c r="G12" s="15" t="s">
        <v>63</v>
      </c>
      <c r="H12" s="17">
        <v>1</v>
      </c>
      <c r="I12" s="17">
        <v>99</v>
      </c>
      <c r="J12" s="15">
        <v>99</v>
      </c>
      <c r="K12" s="15">
        <v>98.22</v>
      </c>
    </row>
    <row r="13" spans="1:11">
      <c r="A13" s="25">
        <v>3</v>
      </c>
      <c r="B13" s="25" t="s">
        <v>64</v>
      </c>
      <c r="C13" s="25" t="s">
        <v>65</v>
      </c>
      <c r="D13" s="25" t="s">
        <v>48</v>
      </c>
      <c r="E13" s="25" t="s">
        <v>66</v>
      </c>
      <c r="F13" s="15" t="s">
        <v>67</v>
      </c>
      <c r="G13" s="15" t="s">
        <v>68</v>
      </c>
      <c r="H13" s="17">
        <v>14</v>
      </c>
      <c r="I13" s="17">
        <v>96.26</v>
      </c>
      <c r="J13" s="15">
        <v>97.82</v>
      </c>
      <c r="K13" s="15">
        <v>97.82</v>
      </c>
    </row>
    <row r="14" spans="1:11">
      <c r="A14" s="25">
        <f t="shared" ref="A14:A18" si="5">A13</f>
        <v>3</v>
      </c>
      <c r="B14" s="25" t="str">
        <f t="shared" ref="B14:B18" si="6">B13</f>
        <v>张华</v>
      </c>
      <c r="C14" s="25" t="str">
        <f t="shared" ref="C14:C18" si="7">C13</f>
        <v>基础教研部</v>
      </c>
      <c r="D14" s="25" t="str">
        <f t="shared" ref="D14:D18" si="8">D13</f>
        <v>助教</v>
      </c>
      <c r="E14" s="25" t="str">
        <f t="shared" ref="E14:E18" si="9">E13</f>
        <v>专职</v>
      </c>
      <c r="F14" s="15" t="s">
        <v>67</v>
      </c>
      <c r="G14" s="15" t="s">
        <v>69</v>
      </c>
      <c r="H14" s="17">
        <v>34</v>
      </c>
      <c r="I14" s="17">
        <v>97.86</v>
      </c>
      <c r="J14" s="15">
        <v>97.82</v>
      </c>
      <c r="K14" s="15">
        <v>97.82</v>
      </c>
    </row>
    <row r="15" spans="1:11">
      <c r="A15" s="25">
        <f t="shared" si="5"/>
        <v>3</v>
      </c>
      <c r="B15" s="25" t="str">
        <f t="shared" si="6"/>
        <v>张华</v>
      </c>
      <c r="C15" s="25" t="str">
        <f t="shared" si="7"/>
        <v>基础教研部</v>
      </c>
      <c r="D15" s="25" t="str">
        <f t="shared" si="8"/>
        <v>助教</v>
      </c>
      <c r="E15" s="25" t="str">
        <f t="shared" si="9"/>
        <v>专职</v>
      </c>
      <c r="F15" s="15" t="s">
        <v>67</v>
      </c>
      <c r="G15" s="15" t="s">
        <v>70</v>
      </c>
      <c r="H15" s="17">
        <v>33</v>
      </c>
      <c r="I15" s="17">
        <v>98.44</v>
      </c>
      <c r="J15" s="15">
        <v>97.82</v>
      </c>
      <c r="K15" s="15">
        <v>97.82</v>
      </c>
    </row>
    <row r="16" spans="1:11">
      <c r="A16" s="25">
        <v>4</v>
      </c>
      <c r="B16" s="25" t="s">
        <v>71</v>
      </c>
      <c r="C16" s="25" t="s">
        <v>72</v>
      </c>
      <c r="D16" s="25" t="s">
        <v>73</v>
      </c>
      <c r="E16" s="25" t="s">
        <v>66</v>
      </c>
      <c r="F16" s="15" t="s">
        <v>74</v>
      </c>
      <c r="G16" s="15" t="s">
        <v>75</v>
      </c>
      <c r="H16" s="17">
        <v>52</v>
      </c>
      <c r="I16" s="17">
        <v>97.65</v>
      </c>
      <c r="J16" s="15">
        <v>97.65</v>
      </c>
      <c r="K16" s="15">
        <v>97.65</v>
      </c>
    </row>
    <row r="17" spans="1:11">
      <c r="A17" s="25">
        <v>5</v>
      </c>
      <c r="B17" s="25" t="s">
        <v>76</v>
      </c>
      <c r="C17" s="25" t="s">
        <v>72</v>
      </c>
      <c r="D17" s="25" t="s">
        <v>73</v>
      </c>
      <c r="E17" s="25" t="s">
        <v>66</v>
      </c>
      <c r="F17" s="15" t="s">
        <v>77</v>
      </c>
      <c r="G17" s="15" t="s">
        <v>78</v>
      </c>
      <c r="H17" s="17">
        <v>27</v>
      </c>
      <c r="I17" s="17">
        <v>98.35</v>
      </c>
      <c r="J17" s="15">
        <v>97.36</v>
      </c>
      <c r="K17" s="15">
        <v>97.36</v>
      </c>
    </row>
    <row r="18" spans="1:11">
      <c r="A18" s="25">
        <f t="shared" si="5"/>
        <v>5</v>
      </c>
      <c r="B18" s="25" t="str">
        <f t="shared" si="6"/>
        <v>戴伟</v>
      </c>
      <c r="C18" s="25" t="str">
        <f t="shared" si="7"/>
        <v>计算机工程系</v>
      </c>
      <c r="D18" s="25" t="str">
        <f t="shared" si="8"/>
        <v>讲师</v>
      </c>
      <c r="E18" s="25" t="str">
        <f t="shared" si="9"/>
        <v>专职</v>
      </c>
      <c r="F18" s="15" t="s">
        <v>77</v>
      </c>
      <c r="G18" s="15" t="s">
        <v>79</v>
      </c>
      <c r="H18" s="17">
        <v>52</v>
      </c>
      <c r="I18" s="17">
        <v>96.84</v>
      </c>
      <c r="J18" s="15">
        <v>97.36</v>
      </c>
      <c r="K18" s="15">
        <v>97.36</v>
      </c>
    </row>
    <row r="19" spans="1:11">
      <c r="A19" s="25">
        <v>6</v>
      </c>
      <c r="B19" s="25" t="s">
        <v>80</v>
      </c>
      <c r="C19" s="25" t="s">
        <v>81</v>
      </c>
      <c r="D19" s="25" t="s">
        <v>48</v>
      </c>
      <c r="E19" s="25" t="s">
        <v>66</v>
      </c>
      <c r="F19" s="15" t="s">
        <v>82</v>
      </c>
      <c r="G19" s="15" t="s">
        <v>83</v>
      </c>
      <c r="H19" s="17">
        <v>31</v>
      </c>
      <c r="I19" s="17">
        <v>95.69</v>
      </c>
      <c r="J19" s="15">
        <v>94.78</v>
      </c>
      <c r="K19" s="15">
        <v>97.32</v>
      </c>
    </row>
    <row r="20" spans="1:11">
      <c r="A20" s="25">
        <f t="shared" ref="A20:A24" si="10">A19</f>
        <v>6</v>
      </c>
      <c r="B20" s="25" t="str">
        <f t="shared" ref="B20:B24" si="11">B19</f>
        <v>林晓晓</v>
      </c>
      <c r="C20" s="25" t="str">
        <f t="shared" ref="C20:C24" si="12">C19</f>
        <v>文化传播系</v>
      </c>
      <c r="D20" s="25" t="str">
        <f t="shared" ref="D20:D24" si="13">D19</f>
        <v>助教</v>
      </c>
      <c r="E20" s="25" t="str">
        <f t="shared" ref="E20:E24" si="14">E19</f>
        <v>专职</v>
      </c>
      <c r="F20" s="15" t="s">
        <v>82</v>
      </c>
      <c r="G20" s="15" t="s">
        <v>83</v>
      </c>
      <c r="H20" s="17">
        <v>29</v>
      </c>
      <c r="I20" s="17">
        <v>93.81</v>
      </c>
      <c r="J20" s="15">
        <v>94.78</v>
      </c>
      <c r="K20" s="15">
        <v>97.32</v>
      </c>
    </row>
    <row r="21" spans="1:11">
      <c r="A21" s="25">
        <v>7</v>
      </c>
      <c r="B21" s="25" t="s">
        <v>84</v>
      </c>
      <c r="C21" s="25" t="s">
        <v>85</v>
      </c>
      <c r="D21" s="25" t="s">
        <v>53</v>
      </c>
      <c r="E21" s="25" t="s">
        <v>66</v>
      </c>
      <c r="F21" s="15" t="s">
        <v>86</v>
      </c>
      <c r="G21" s="15" t="s">
        <v>87</v>
      </c>
      <c r="H21" s="17">
        <v>52</v>
      </c>
      <c r="I21" s="17">
        <v>94.92</v>
      </c>
      <c r="J21" s="15">
        <v>93.54</v>
      </c>
      <c r="K21" s="15">
        <v>97.13</v>
      </c>
    </row>
    <row r="22" spans="1:11">
      <c r="A22" s="25">
        <f t="shared" si="10"/>
        <v>7</v>
      </c>
      <c r="B22" s="25" t="str">
        <f t="shared" si="11"/>
        <v>王女</v>
      </c>
      <c r="C22" s="25" t="str">
        <f t="shared" si="12"/>
        <v>法律系</v>
      </c>
      <c r="D22" s="25" t="str">
        <f t="shared" si="13"/>
        <v>副教授</v>
      </c>
      <c r="E22" s="25" t="str">
        <f t="shared" si="14"/>
        <v>专职</v>
      </c>
      <c r="F22" s="15" t="s">
        <v>86</v>
      </c>
      <c r="G22" s="15" t="s">
        <v>88</v>
      </c>
      <c r="H22" s="17">
        <v>42</v>
      </c>
      <c r="I22" s="17">
        <v>91.83</v>
      </c>
      <c r="J22" s="15">
        <v>93.54</v>
      </c>
      <c r="K22" s="15">
        <v>97.13</v>
      </c>
    </row>
    <row r="23" spans="1:11">
      <c r="A23" s="25">
        <f t="shared" si="10"/>
        <v>7</v>
      </c>
      <c r="B23" s="25" t="str">
        <f t="shared" si="11"/>
        <v>王女</v>
      </c>
      <c r="C23" s="25" t="str">
        <f t="shared" si="12"/>
        <v>法律系</v>
      </c>
      <c r="D23" s="25" t="str">
        <f t="shared" si="13"/>
        <v>副教授</v>
      </c>
      <c r="E23" s="25" t="str">
        <f t="shared" si="14"/>
        <v>专职</v>
      </c>
      <c r="F23" s="15" t="s">
        <v>89</v>
      </c>
      <c r="G23" s="15" t="s">
        <v>90</v>
      </c>
      <c r="H23" s="17">
        <v>36</v>
      </c>
      <c r="I23" s="17">
        <v>96.2</v>
      </c>
      <c r="J23" s="15">
        <v>96.54</v>
      </c>
      <c r="K23" s="15">
        <v>97.13</v>
      </c>
    </row>
    <row r="24" spans="1:11">
      <c r="A24" s="25">
        <f t="shared" si="10"/>
        <v>7</v>
      </c>
      <c r="B24" s="25" t="str">
        <f t="shared" si="11"/>
        <v>王女</v>
      </c>
      <c r="C24" s="25" t="str">
        <f t="shared" si="12"/>
        <v>法律系</v>
      </c>
      <c r="D24" s="25" t="str">
        <f t="shared" si="13"/>
        <v>副教授</v>
      </c>
      <c r="E24" s="25" t="str">
        <f t="shared" si="14"/>
        <v>专职</v>
      </c>
      <c r="F24" s="15" t="s">
        <v>89</v>
      </c>
      <c r="G24" s="15" t="s">
        <v>91</v>
      </c>
      <c r="H24" s="17">
        <v>26</v>
      </c>
      <c r="I24" s="17">
        <v>97.02</v>
      </c>
      <c r="J24" s="15">
        <v>96.54</v>
      </c>
      <c r="K24" s="15">
        <v>97.13</v>
      </c>
    </row>
    <row r="25" spans="1:11">
      <c r="A25" s="25">
        <v>8</v>
      </c>
      <c r="B25" s="25" t="s">
        <v>92</v>
      </c>
      <c r="C25" s="25" t="s">
        <v>93</v>
      </c>
      <c r="D25" s="25" t="s">
        <v>94</v>
      </c>
      <c r="E25" s="25" t="s">
        <v>66</v>
      </c>
      <c r="F25" s="15" t="s">
        <v>95</v>
      </c>
      <c r="G25" s="15" t="s">
        <v>96</v>
      </c>
      <c r="H25" s="17">
        <v>16</v>
      </c>
      <c r="I25" s="17">
        <v>96.14</v>
      </c>
      <c r="J25" s="15">
        <v>96.96</v>
      </c>
      <c r="K25" s="15">
        <v>96.98</v>
      </c>
    </row>
    <row r="26" spans="1:11">
      <c r="A26" s="25">
        <f t="shared" ref="A26:A33" si="15">A25</f>
        <v>8</v>
      </c>
      <c r="B26" s="25" t="str">
        <f t="shared" ref="B26:B33" si="16">B25</f>
        <v>带路</v>
      </c>
      <c r="C26" s="25" t="str">
        <f t="shared" ref="C26:C33" si="17">C25</f>
        <v>电子信息工程系</v>
      </c>
      <c r="D26" s="25" t="str">
        <f t="shared" ref="D26:D33" si="18">D25</f>
        <v>助理工程师</v>
      </c>
      <c r="E26" s="25" t="str">
        <f t="shared" ref="E26:E33" si="19">E25</f>
        <v>专职</v>
      </c>
      <c r="F26" s="15" t="s">
        <v>95</v>
      </c>
      <c r="G26" s="15" t="s">
        <v>96</v>
      </c>
      <c r="H26" s="17">
        <v>14</v>
      </c>
      <c r="I26" s="17">
        <v>96.44</v>
      </c>
      <c r="J26" s="15">
        <v>96.96</v>
      </c>
      <c r="K26" s="15">
        <v>96.98</v>
      </c>
    </row>
    <row r="27" spans="1:11">
      <c r="A27" s="25">
        <f t="shared" si="15"/>
        <v>8</v>
      </c>
      <c r="B27" s="25" t="str">
        <f t="shared" si="16"/>
        <v>带路</v>
      </c>
      <c r="C27" s="25" t="str">
        <f t="shared" si="17"/>
        <v>电子信息工程系</v>
      </c>
      <c r="D27" s="25" t="str">
        <f t="shared" si="18"/>
        <v>助理工程师</v>
      </c>
      <c r="E27" s="25" t="str">
        <f t="shared" si="19"/>
        <v>专职</v>
      </c>
      <c r="F27" s="15" t="s">
        <v>95</v>
      </c>
      <c r="G27" s="15" t="s">
        <v>97</v>
      </c>
      <c r="H27" s="17">
        <v>19</v>
      </c>
      <c r="I27" s="17">
        <v>97.15</v>
      </c>
      <c r="J27" s="15">
        <v>96.96</v>
      </c>
      <c r="K27" s="15">
        <v>96.98</v>
      </c>
    </row>
    <row r="28" spans="1:11">
      <c r="A28" s="25">
        <f t="shared" si="15"/>
        <v>8</v>
      </c>
      <c r="B28" s="25" t="str">
        <f t="shared" si="16"/>
        <v>带路</v>
      </c>
      <c r="C28" s="25" t="str">
        <f t="shared" si="17"/>
        <v>电子信息工程系</v>
      </c>
      <c r="D28" s="25" t="str">
        <f t="shared" si="18"/>
        <v>助理工程师</v>
      </c>
      <c r="E28" s="25" t="str">
        <f t="shared" si="19"/>
        <v>专职</v>
      </c>
      <c r="F28" s="15" t="s">
        <v>95</v>
      </c>
      <c r="G28" s="15" t="s">
        <v>97</v>
      </c>
      <c r="H28" s="17">
        <v>20</v>
      </c>
      <c r="I28" s="17">
        <v>97.78</v>
      </c>
      <c r="J28" s="15">
        <v>96.96</v>
      </c>
      <c r="K28" s="15">
        <v>96.98</v>
      </c>
    </row>
    <row r="29" spans="1:11">
      <c r="A29" s="25">
        <f t="shared" si="15"/>
        <v>8</v>
      </c>
      <c r="B29" s="25" t="str">
        <f t="shared" si="16"/>
        <v>带路</v>
      </c>
      <c r="C29" s="25" t="str">
        <f t="shared" si="17"/>
        <v>电子信息工程系</v>
      </c>
      <c r="D29" s="25" t="str">
        <f t="shared" si="18"/>
        <v>助理工程师</v>
      </c>
      <c r="E29" s="25" t="str">
        <f t="shared" si="19"/>
        <v>专职</v>
      </c>
      <c r="F29" s="15" t="s">
        <v>98</v>
      </c>
      <c r="G29" s="15" t="s">
        <v>78</v>
      </c>
      <c r="H29" s="17">
        <v>13</v>
      </c>
      <c r="I29" s="17">
        <v>98.11</v>
      </c>
      <c r="J29" s="15">
        <v>96.99</v>
      </c>
      <c r="K29" s="15">
        <v>96.98</v>
      </c>
    </row>
    <row r="30" spans="1:11">
      <c r="A30" s="25">
        <f t="shared" si="15"/>
        <v>8</v>
      </c>
      <c r="B30" s="25" t="str">
        <f t="shared" si="16"/>
        <v>带路</v>
      </c>
      <c r="C30" s="25" t="str">
        <f t="shared" si="17"/>
        <v>电子信息工程系</v>
      </c>
      <c r="D30" s="25" t="str">
        <f t="shared" si="18"/>
        <v>助理工程师</v>
      </c>
      <c r="E30" s="25" t="str">
        <f t="shared" si="19"/>
        <v>专职</v>
      </c>
      <c r="F30" s="15" t="s">
        <v>98</v>
      </c>
      <c r="G30" s="15" t="s">
        <v>78</v>
      </c>
      <c r="H30" s="17">
        <v>15</v>
      </c>
      <c r="I30" s="17">
        <v>97.76</v>
      </c>
      <c r="J30" s="15">
        <v>96.99</v>
      </c>
      <c r="K30" s="15">
        <v>96.98</v>
      </c>
    </row>
    <row r="31" spans="1:11">
      <c r="A31" s="25">
        <f t="shared" si="15"/>
        <v>8</v>
      </c>
      <c r="B31" s="25" t="str">
        <f t="shared" si="16"/>
        <v>带路</v>
      </c>
      <c r="C31" s="25" t="str">
        <f t="shared" si="17"/>
        <v>电子信息工程系</v>
      </c>
      <c r="D31" s="25" t="str">
        <f t="shared" si="18"/>
        <v>助理工程师</v>
      </c>
      <c r="E31" s="25" t="str">
        <f t="shared" si="19"/>
        <v>专职</v>
      </c>
      <c r="F31" s="15" t="s">
        <v>98</v>
      </c>
      <c r="G31" s="15" t="s">
        <v>99</v>
      </c>
      <c r="H31" s="17">
        <v>27</v>
      </c>
      <c r="I31" s="17">
        <v>95.89</v>
      </c>
      <c r="J31" s="15">
        <v>96.99</v>
      </c>
      <c r="K31" s="15">
        <v>96.98</v>
      </c>
    </row>
    <row r="32" spans="1:11">
      <c r="A32" s="25">
        <f t="shared" si="15"/>
        <v>8</v>
      </c>
      <c r="B32" s="25" t="str">
        <f t="shared" si="16"/>
        <v>带路</v>
      </c>
      <c r="C32" s="25" t="str">
        <f t="shared" si="17"/>
        <v>电子信息工程系</v>
      </c>
      <c r="D32" s="25" t="str">
        <f t="shared" si="18"/>
        <v>助理工程师</v>
      </c>
      <c r="E32" s="25" t="str">
        <f t="shared" si="19"/>
        <v>专职</v>
      </c>
      <c r="F32" s="15" t="s">
        <v>98</v>
      </c>
      <c r="G32" s="15" t="s">
        <v>100</v>
      </c>
      <c r="H32" s="17">
        <v>1</v>
      </c>
      <c r="I32" s="17">
        <v>97.5</v>
      </c>
      <c r="J32" s="15">
        <v>96.99</v>
      </c>
      <c r="K32" s="15">
        <v>96.98</v>
      </c>
    </row>
    <row r="33" spans="1:11">
      <c r="A33" s="25">
        <f t="shared" si="15"/>
        <v>8</v>
      </c>
      <c r="B33" s="25" t="str">
        <f t="shared" si="16"/>
        <v>带路</v>
      </c>
      <c r="C33" s="25" t="str">
        <f t="shared" si="17"/>
        <v>电子信息工程系</v>
      </c>
      <c r="D33" s="25" t="str">
        <f t="shared" si="18"/>
        <v>助理工程师</v>
      </c>
      <c r="E33" s="25" t="str">
        <f t="shared" si="19"/>
        <v>专职</v>
      </c>
      <c r="F33" s="15" t="s">
        <v>98</v>
      </c>
      <c r="G33" s="15" t="s">
        <v>99</v>
      </c>
      <c r="H33" s="17">
        <v>23</v>
      </c>
      <c r="I33" s="17">
        <v>97.11</v>
      </c>
      <c r="J33" s="15">
        <v>96.99</v>
      </c>
      <c r="K33" s="15">
        <v>96.98</v>
      </c>
    </row>
    <row r="34" spans="1:11">
      <c r="A34" s="26"/>
      <c r="B34" s="26"/>
      <c r="C34" s="26"/>
      <c r="D34" s="26"/>
      <c r="E34" s="26"/>
    </row>
  </sheetData>
  <mergeCells count="26">
    <mergeCell ref="A1:G1"/>
    <mergeCell ref="A3:K3"/>
    <mergeCell ref="F6:F7"/>
    <mergeCell ref="F9:F10"/>
    <mergeCell ref="F13:F15"/>
    <mergeCell ref="F17:F18"/>
    <mergeCell ref="F19:F20"/>
    <mergeCell ref="F21:F22"/>
    <mergeCell ref="F23:F24"/>
    <mergeCell ref="F25:F28"/>
    <mergeCell ref="F29:F33"/>
    <mergeCell ref="J6:J7"/>
    <mergeCell ref="J9:J10"/>
    <mergeCell ref="J13:J15"/>
    <mergeCell ref="J17:J18"/>
    <mergeCell ref="J19:J20"/>
    <mergeCell ref="J21:J22"/>
    <mergeCell ref="J23:J24"/>
    <mergeCell ref="J25:J28"/>
    <mergeCell ref="J29:J33"/>
    <mergeCell ref="K6:K12"/>
    <mergeCell ref="K13:K15"/>
    <mergeCell ref="K17:K18"/>
    <mergeCell ref="K19:K20"/>
    <mergeCell ref="K21:K24"/>
    <mergeCell ref="K25:K33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1"/>
  <sheetViews>
    <sheetView workbookViewId="0">
      <selection activeCell="A3" sqref="A3:A31"/>
    </sheetView>
  </sheetViews>
  <sheetFormatPr defaultColWidth="9.81818181818182" defaultRowHeight="15"/>
  <cols>
    <col min="1" max="1" width="13.5" style="4" customWidth="1"/>
    <col min="2" max="2" width="9.81818181818182" style="4"/>
    <col min="3" max="3" width="20.4545454545455" style="4" customWidth="1"/>
    <col min="4" max="5" width="9.81818181818182" style="4"/>
    <col min="6" max="6" width="25.2272727272727" style="4" customWidth="1"/>
    <col min="7" max="7" width="32.8636363636364" style="4" customWidth="1"/>
    <col min="8" max="16384" width="9.81818181818182" style="4"/>
  </cols>
  <sheetData>
    <row r="1" ht="27.5" spans="1:11">
      <c r="A1" s="14" t="s">
        <v>34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5" t="s">
        <v>35</v>
      </c>
      <c r="B2" s="15" t="s">
        <v>36</v>
      </c>
      <c r="C2" s="15" t="s">
        <v>37</v>
      </c>
      <c r="D2" s="15" t="s">
        <v>38</v>
      </c>
      <c r="E2" s="15" t="s">
        <v>39</v>
      </c>
      <c r="F2" s="15" t="s">
        <v>40</v>
      </c>
      <c r="G2" s="16" t="s">
        <v>41</v>
      </c>
      <c r="H2" s="16" t="s">
        <v>42</v>
      </c>
      <c r="I2" s="16" t="s">
        <v>43</v>
      </c>
      <c r="J2" s="16" t="s">
        <v>44</v>
      </c>
      <c r="K2" s="15" t="s">
        <v>45</v>
      </c>
    </row>
    <row r="3" spans="1:11">
      <c r="A3" s="15">
        <f>MAX(A$2:A2)+1</f>
        <v>1</v>
      </c>
      <c r="B3" s="15" t="s">
        <v>46</v>
      </c>
      <c r="C3" s="15" t="s">
        <v>47</v>
      </c>
      <c r="D3" s="15" t="s">
        <v>48</v>
      </c>
      <c r="E3" s="15" t="s">
        <v>49</v>
      </c>
      <c r="F3" s="15" t="s">
        <v>50</v>
      </c>
      <c r="G3" s="15" t="s">
        <v>51</v>
      </c>
      <c r="H3" s="17">
        <v>2</v>
      </c>
      <c r="I3" s="17">
        <v>99.45</v>
      </c>
      <c r="J3" s="15">
        <v>99.45</v>
      </c>
      <c r="K3" s="15">
        <v>99.45</v>
      </c>
    </row>
    <row r="4" spans="1:11">
      <c r="A4" s="15">
        <f>MAX(A$2:A3)+1</f>
        <v>2</v>
      </c>
      <c r="B4" s="15" t="s">
        <v>52</v>
      </c>
      <c r="C4" s="18" t="s">
        <v>47</v>
      </c>
      <c r="D4" s="15" t="s">
        <v>53</v>
      </c>
      <c r="E4" s="15" t="s">
        <v>49</v>
      </c>
      <c r="F4" s="15" t="s">
        <v>54</v>
      </c>
      <c r="G4" s="15" t="s">
        <v>51</v>
      </c>
      <c r="H4" s="17">
        <v>2</v>
      </c>
      <c r="I4" s="17">
        <v>99.85</v>
      </c>
      <c r="J4" s="15">
        <v>97.97</v>
      </c>
      <c r="K4" s="15">
        <v>98.22</v>
      </c>
    </row>
    <row r="5" spans="1:11">
      <c r="A5" s="15"/>
      <c r="B5" s="15" t="s">
        <v>101</v>
      </c>
      <c r="C5" s="19" t="s">
        <v>47</v>
      </c>
      <c r="D5" s="15" t="s">
        <v>53</v>
      </c>
      <c r="E5" s="15" t="s">
        <v>49</v>
      </c>
      <c r="F5" s="15" t="s">
        <v>54</v>
      </c>
      <c r="G5" s="15" t="s">
        <v>55</v>
      </c>
      <c r="H5" s="17">
        <v>1</v>
      </c>
      <c r="I5" s="17">
        <v>94.2</v>
      </c>
      <c r="J5" s="15">
        <v>97.97</v>
      </c>
      <c r="K5" s="15">
        <v>98.22</v>
      </c>
    </row>
    <row r="6" spans="1:11">
      <c r="A6" s="15"/>
      <c r="B6" s="15" t="s">
        <v>101</v>
      </c>
      <c r="C6" s="19" t="s">
        <v>47</v>
      </c>
      <c r="D6" s="15" t="s">
        <v>53</v>
      </c>
      <c r="E6" s="15" t="s">
        <v>49</v>
      </c>
      <c r="F6" s="15" t="s">
        <v>56</v>
      </c>
      <c r="G6" s="15" t="s">
        <v>57</v>
      </c>
      <c r="H6" s="17">
        <v>1</v>
      </c>
      <c r="I6" s="17">
        <v>99</v>
      </c>
      <c r="J6" s="15">
        <v>99</v>
      </c>
      <c r="K6" s="15">
        <v>98.22</v>
      </c>
    </row>
    <row r="7" spans="1:11">
      <c r="A7" s="15"/>
      <c r="B7" s="15" t="s">
        <v>101</v>
      </c>
      <c r="C7" s="19" t="s">
        <v>47</v>
      </c>
      <c r="D7" s="15" t="s">
        <v>53</v>
      </c>
      <c r="E7" s="15" t="s">
        <v>49</v>
      </c>
      <c r="F7" s="15" t="s">
        <v>58</v>
      </c>
      <c r="G7" s="15" t="s">
        <v>51</v>
      </c>
      <c r="H7" s="17">
        <v>1</v>
      </c>
      <c r="I7" s="17">
        <v>99</v>
      </c>
      <c r="J7" s="15">
        <v>97.72</v>
      </c>
      <c r="K7" s="15">
        <v>98.22</v>
      </c>
    </row>
    <row r="8" spans="1:11">
      <c r="A8" s="15"/>
      <c r="B8" s="15" t="s">
        <v>101</v>
      </c>
      <c r="C8" s="19" t="s">
        <v>47</v>
      </c>
      <c r="D8" s="15" t="s">
        <v>53</v>
      </c>
      <c r="E8" s="15" t="s">
        <v>49</v>
      </c>
      <c r="F8" s="15" t="s">
        <v>58</v>
      </c>
      <c r="G8" s="15" t="s">
        <v>59</v>
      </c>
      <c r="H8" s="17">
        <v>4</v>
      </c>
      <c r="I8" s="17">
        <v>97.4</v>
      </c>
      <c r="J8" s="15">
        <v>97.72</v>
      </c>
      <c r="K8" s="15">
        <v>98.22</v>
      </c>
    </row>
    <row r="9" spans="1:11">
      <c r="A9" s="15"/>
      <c r="B9" s="15" t="s">
        <v>101</v>
      </c>
      <c r="C9" s="19" t="s">
        <v>47</v>
      </c>
      <c r="D9" s="15" t="s">
        <v>53</v>
      </c>
      <c r="E9" s="15" t="s">
        <v>49</v>
      </c>
      <c r="F9" s="15" t="s">
        <v>60</v>
      </c>
      <c r="G9" s="15" t="s">
        <v>61</v>
      </c>
      <c r="H9" s="17">
        <v>2</v>
      </c>
      <c r="I9" s="17">
        <v>97.43</v>
      </c>
      <c r="J9" s="15">
        <v>97.43</v>
      </c>
      <c r="K9" s="15">
        <v>98.22</v>
      </c>
    </row>
    <row r="10" spans="1:11">
      <c r="A10" s="15"/>
      <c r="B10" s="15" t="s">
        <v>101</v>
      </c>
      <c r="C10" s="20" t="s">
        <v>47</v>
      </c>
      <c r="D10" s="15" t="s">
        <v>53</v>
      </c>
      <c r="E10" s="15" t="s">
        <v>49</v>
      </c>
      <c r="F10" s="15" t="s">
        <v>62</v>
      </c>
      <c r="G10" s="15" t="s">
        <v>63</v>
      </c>
      <c r="H10" s="17">
        <v>1</v>
      </c>
      <c r="I10" s="17">
        <v>99</v>
      </c>
      <c r="J10" s="15">
        <v>99</v>
      </c>
      <c r="K10" s="15">
        <v>98.22</v>
      </c>
    </row>
    <row r="11" spans="1:11">
      <c r="A11" s="15">
        <f>MAX(A$2:A10)+1</f>
        <v>3</v>
      </c>
      <c r="B11" s="15" t="s">
        <v>64</v>
      </c>
      <c r="C11" s="15" t="s">
        <v>65</v>
      </c>
      <c r="D11" s="15" t="s">
        <v>48</v>
      </c>
      <c r="E11" s="15" t="s">
        <v>66</v>
      </c>
      <c r="F11" s="15" t="s">
        <v>67</v>
      </c>
      <c r="G11" s="15" t="s">
        <v>68</v>
      </c>
      <c r="H11" s="17">
        <v>14</v>
      </c>
      <c r="I11" s="17">
        <v>96.26</v>
      </c>
      <c r="J11" s="15">
        <v>97.82</v>
      </c>
      <c r="K11" s="15">
        <v>97.82</v>
      </c>
    </row>
    <row r="12" spans="1:11">
      <c r="A12" s="15"/>
      <c r="B12" s="15" t="s">
        <v>102</v>
      </c>
      <c r="C12" s="15" t="s">
        <v>65</v>
      </c>
      <c r="D12" s="15" t="s">
        <v>48</v>
      </c>
      <c r="E12" s="15" t="s">
        <v>66</v>
      </c>
      <c r="F12" s="15" t="s">
        <v>67</v>
      </c>
      <c r="G12" s="15" t="s">
        <v>69</v>
      </c>
      <c r="H12" s="17">
        <v>34</v>
      </c>
      <c r="I12" s="17">
        <v>97.86</v>
      </c>
      <c r="J12" s="15">
        <v>97.82</v>
      </c>
      <c r="K12" s="15">
        <v>97.82</v>
      </c>
    </row>
    <row r="13" spans="1:11">
      <c r="A13" s="15"/>
      <c r="B13" s="15" t="s">
        <v>102</v>
      </c>
      <c r="C13" s="15" t="s">
        <v>65</v>
      </c>
      <c r="D13" s="15" t="s">
        <v>48</v>
      </c>
      <c r="E13" s="15" t="s">
        <v>66</v>
      </c>
      <c r="F13" s="15" t="s">
        <v>67</v>
      </c>
      <c r="G13" s="15" t="s">
        <v>70</v>
      </c>
      <c r="H13" s="17">
        <v>33</v>
      </c>
      <c r="I13" s="17">
        <v>98.44</v>
      </c>
      <c r="J13" s="15">
        <v>97.82</v>
      </c>
      <c r="K13" s="15">
        <v>97.82</v>
      </c>
    </row>
    <row r="14" spans="1:11">
      <c r="A14" s="15">
        <f>MAX(A$2:A13)+1</f>
        <v>4</v>
      </c>
      <c r="B14" s="15" t="s">
        <v>71</v>
      </c>
      <c r="C14" s="15" t="s">
        <v>72</v>
      </c>
      <c r="D14" s="15" t="s">
        <v>73</v>
      </c>
      <c r="E14" s="15" t="s">
        <v>66</v>
      </c>
      <c r="F14" s="15" t="s">
        <v>74</v>
      </c>
      <c r="G14" s="15" t="s">
        <v>75</v>
      </c>
      <c r="H14" s="17">
        <v>52</v>
      </c>
      <c r="I14" s="17">
        <v>97.65</v>
      </c>
      <c r="J14" s="15">
        <v>97.65</v>
      </c>
      <c r="K14" s="15">
        <v>97.65</v>
      </c>
    </row>
    <row r="15" spans="1:11">
      <c r="A15" s="15">
        <f>MAX(A$2:A14)+1</f>
        <v>5</v>
      </c>
      <c r="B15" s="15" t="s">
        <v>76</v>
      </c>
      <c r="C15" s="15" t="s">
        <v>72</v>
      </c>
      <c r="D15" s="15" t="s">
        <v>73</v>
      </c>
      <c r="E15" s="15" t="s">
        <v>66</v>
      </c>
      <c r="F15" s="15" t="s">
        <v>77</v>
      </c>
      <c r="G15" s="15" t="s">
        <v>78</v>
      </c>
      <c r="H15" s="17">
        <v>27</v>
      </c>
      <c r="I15" s="17">
        <v>98.35</v>
      </c>
      <c r="J15" s="15">
        <v>97.36</v>
      </c>
      <c r="K15" s="15">
        <v>97.36</v>
      </c>
    </row>
    <row r="16" spans="1:11">
      <c r="A16" s="15"/>
      <c r="B16" s="15" t="s">
        <v>103</v>
      </c>
      <c r="C16" s="15" t="s">
        <v>72</v>
      </c>
      <c r="D16" s="15" t="s">
        <v>73</v>
      </c>
      <c r="E16" s="15" t="s">
        <v>66</v>
      </c>
      <c r="F16" s="15" t="s">
        <v>77</v>
      </c>
      <c r="G16" s="15" t="s">
        <v>79</v>
      </c>
      <c r="H16" s="17">
        <v>52</v>
      </c>
      <c r="I16" s="17">
        <v>96.84</v>
      </c>
      <c r="J16" s="15">
        <v>97.36</v>
      </c>
      <c r="K16" s="15">
        <v>97.36</v>
      </c>
    </row>
    <row r="17" spans="1:11">
      <c r="A17" s="15">
        <f>MAX(A$2:A16)+1</f>
        <v>6</v>
      </c>
      <c r="B17" s="15" t="s">
        <v>104</v>
      </c>
      <c r="C17" s="15" t="s">
        <v>81</v>
      </c>
      <c r="D17" s="15" t="s">
        <v>48</v>
      </c>
      <c r="E17" s="15" t="s">
        <v>66</v>
      </c>
      <c r="F17" s="15" t="s">
        <v>82</v>
      </c>
      <c r="G17" s="15" t="s">
        <v>83</v>
      </c>
      <c r="H17" s="17">
        <v>31</v>
      </c>
      <c r="I17" s="17">
        <v>95.69</v>
      </c>
      <c r="J17" s="15">
        <v>94.78</v>
      </c>
      <c r="K17" s="15">
        <v>97.32</v>
      </c>
    </row>
    <row r="18" spans="1:11">
      <c r="A18" s="15"/>
      <c r="B18" s="15" t="s">
        <v>105</v>
      </c>
      <c r="C18" s="15" t="s">
        <v>81</v>
      </c>
      <c r="D18" s="15" t="s">
        <v>48</v>
      </c>
      <c r="E18" s="15" t="s">
        <v>66</v>
      </c>
      <c r="F18" s="15" t="s">
        <v>82</v>
      </c>
      <c r="G18" s="15" t="s">
        <v>83</v>
      </c>
      <c r="H18" s="17">
        <v>29</v>
      </c>
      <c r="I18" s="17">
        <v>93.81</v>
      </c>
      <c r="J18" s="15">
        <v>94.78</v>
      </c>
      <c r="K18" s="15">
        <v>97.32</v>
      </c>
    </row>
    <row r="19" spans="1:11">
      <c r="A19" s="15">
        <f>MAX(A$2:A18)+1</f>
        <v>7</v>
      </c>
      <c r="B19" s="16" t="s">
        <v>84</v>
      </c>
      <c r="C19" s="16" t="s">
        <v>85</v>
      </c>
      <c r="D19" s="16" t="s">
        <v>53</v>
      </c>
      <c r="E19" s="16" t="s">
        <v>66</v>
      </c>
      <c r="F19" s="15" t="s">
        <v>86</v>
      </c>
      <c r="G19" s="15" t="s">
        <v>87</v>
      </c>
      <c r="H19" s="17">
        <v>52</v>
      </c>
      <c r="I19" s="17">
        <v>94.92</v>
      </c>
      <c r="J19" s="15">
        <v>93.54</v>
      </c>
      <c r="K19" s="15">
        <v>97.13</v>
      </c>
    </row>
    <row r="20" spans="1:11">
      <c r="A20" s="15"/>
      <c r="B20" s="15" t="s">
        <v>106</v>
      </c>
      <c r="C20" s="15" t="s">
        <v>85</v>
      </c>
      <c r="D20" s="15" t="s">
        <v>53</v>
      </c>
      <c r="E20" s="15" t="s">
        <v>66</v>
      </c>
      <c r="F20" s="15" t="s">
        <v>86</v>
      </c>
      <c r="G20" s="15" t="s">
        <v>88</v>
      </c>
      <c r="H20" s="17">
        <v>42</v>
      </c>
      <c r="I20" s="17">
        <v>91.83</v>
      </c>
      <c r="J20" s="15">
        <v>93.54</v>
      </c>
      <c r="K20" s="15">
        <v>97.13</v>
      </c>
    </row>
    <row r="21" spans="1:11">
      <c r="A21" s="15"/>
      <c r="B21" s="15" t="s">
        <v>106</v>
      </c>
      <c r="C21" s="15" t="s">
        <v>85</v>
      </c>
      <c r="D21" s="15" t="s">
        <v>53</v>
      </c>
      <c r="E21" s="15" t="s">
        <v>66</v>
      </c>
      <c r="F21" s="15" t="s">
        <v>89</v>
      </c>
      <c r="G21" s="15" t="s">
        <v>90</v>
      </c>
      <c r="H21" s="17">
        <v>36</v>
      </c>
      <c r="I21" s="17">
        <v>96.2</v>
      </c>
      <c r="J21" s="15">
        <v>96.54</v>
      </c>
      <c r="K21" s="15">
        <v>97.13</v>
      </c>
    </row>
    <row r="22" spans="1:11">
      <c r="A22" s="15"/>
      <c r="B22" s="15" t="s">
        <v>106</v>
      </c>
      <c r="C22" s="15" t="s">
        <v>85</v>
      </c>
      <c r="D22" s="15" t="s">
        <v>53</v>
      </c>
      <c r="E22" s="15" t="s">
        <v>66</v>
      </c>
      <c r="F22" s="15" t="s">
        <v>89</v>
      </c>
      <c r="G22" s="15" t="s">
        <v>91</v>
      </c>
      <c r="H22" s="17">
        <v>26</v>
      </c>
      <c r="I22" s="17">
        <v>97.02</v>
      </c>
      <c r="J22" s="15">
        <v>96.54</v>
      </c>
      <c r="K22" s="15">
        <v>97.13</v>
      </c>
    </row>
    <row r="23" spans="1:11">
      <c r="A23" s="15">
        <f>MAX(A$2:A22)+1</f>
        <v>8</v>
      </c>
      <c r="B23" s="15" t="s">
        <v>107</v>
      </c>
      <c r="C23" s="15" t="s">
        <v>93</v>
      </c>
      <c r="D23" s="15" t="s">
        <v>94</v>
      </c>
      <c r="E23" s="15" t="s">
        <v>66</v>
      </c>
      <c r="F23" s="15" t="s">
        <v>95</v>
      </c>
      <c r="G23" s="15" t="s">
        <v>96</v>
      </c>
      <c r="H23" s="17">
        <v>16</v>
      </c>
      <c r="I23" s="17">
        <v>96.14</v>
      </c>
      <c r="J23" s="15">
        <v>96.96</v>
      </c>
      <c r="K23" s="15">
        <v>96.98</v>
      </c>
    </row>
    <row r="24" spans="1:11">
      <c r="A24" s="15"/>
      <c r="B24" s="15" t="s">
        <v>108</v>
      </c>
      <c r="C24" s="15" t="s">
        <v>93</v>
      </c>
      <c r="D24" s="15" t="s">
        <v>94</v>
      </c>
      <c r="E24" s="15" t="s">
        <v>66</v>
      </c>
      <c r="F24" s="15" t="s">
        <v>95</v>
      </c>
      <c r="G24" s="15" t="s">
        <v>96</v>
      </c>
      <c r="H24" s="17">
        <v>14</v>
      </c>
      <c r="I24" s="17">
        <v>96.44</v>
      </c>
      <c r="J24" s="15">
        <v>96.96</v>
      </c>
      <c r="K24" s="15">
        <v>96.98</v>
      </c>
    </row>
    <row r="25" spans="1:11">
      <c r="A25" s="15"/>
      <c r="B25" s="15" t="s">
        <v>108</v>
      </c>
      <c r="C25" s="15" t="s">
        <v>93</v>
      </c>
      <c r="D25" s="15" t="s">
        <v>94</v>
      </c>
      <c r="E25" s="15" t="s">
        <v>66</v>
      </c>
      <c r="F25" s="15" t="s">
        <v>95</v>
      </c>
      <c r="G25" s="15" t="s">
        <v>97</v>
      </c>
      <c r="H25" s="17">
        <v>19</v>
      </c>
      <c r="I25" s="17">
        <v>97.15</v>
      </c>
      <c r="J25" s="15">
        <v>96.96</v>
      </c>
      <c r="K25" s="15">
        <v>96.98</v>
      </c>
    </row>
    <row r="26" spans="1:11">
      <c r="A26" s="15"/>
      <c r="B26" s="15" t="s">
        <v>108</v>
      </c>
      <c r="C26" s="15" t="s">
        <v>93</v>
      </c>
      <c r="D26" s="15" t="s">
        <v>94</v>
      </c>
      <c r="E26" s="15" t="s">
        <v>66</v>
      </c>
      <c r="F26" s="15" t="s">
        <v>95</v>
      </c>
      <c r="G26" s="15" t="s">
        <v>97</v>
      </c>
      <c r="H26" s="17">
        <v>20</v>
      </c>
      <c r="I26" s="17">
        <v>97.78</v>
      </c>
      <c r="J26" s="15">
        <v>96.96</v>
      </c>
      <c r="K26" s="15">
        <v>96.98</v>
      </c>
    </row>
    <row r="27" spans="1:11">
      <c r="A27" s="15"/>
      <c r="B27" s="15" t="s">
        <v>108</v>
      </c>
      <c r="C27" s="15" t="s">
        <v>93</v>
      </c>
      <c r="D27" s="15" t="s">
        <v>94</v>
      </c>
      <c r="E27" s="15" t="s">
        <v>66</v>
      </c>
      <c r="F27" s="15" t="s">
        <v>98</v>
      </c>
      <c r="G27" s="15" t="s">
        <v>78</v>
      </c>
      <c r="H27" s="17">
        <v>13</v>
      </c>
      <c r="I27" s="17">
        <v>98.11</v>
      </c>
      <c r="J27" s="15">
        <v>96.99</v>
      </c>
      <c r="K27" s="15">
        <v>96.98</v>
      </c>
    </row>
    <row r="28" spans="1:11">
      <c r="A28" s="15"/>
      <c r="B28" s="15" t="s">
        <v>108</v>
      </c>
      <c r="C28" s="15" t="s">
        <v>93</v>
      </c>
      <c r="D28" s="15" t="s">
        <v>94</v>
      </c>
      <c r="E28" s="15" t="s">
        <v>66</v>
      </c>
      <c r="F28" s="15" t="s">
        <v>98</v>
      </c>
      <c r="G28" s="15" t="s">
        <v>78</v>
      </c>
      <c r="H28" s="17">
        <v>15</v>
      </c>
      <c r="I28" s="17">
        <v>97.76</v>
      </c>
      <c r="J28" s="15">
        <v>96.99</v>
      </c>
      <c r="K28" s="15">
        <v>96.98</v>
      </c>
    </row>
    <row r="29" spans="1:11">
      <c r="A29" s="15"/>
      <c r="B29" s="15" t="s">
        <v>108</v>
      </c>
      <c r="C29" s="15" t="s">
        <v>93</v>
      </c>
      <c r="D29" s="15" t="s">
        <v>94</v>
      </c>
      <c r="E29" s="15" t="s">
        <v>66</v>
      </c>
      <c r="F29" s="15" t="s">
        <v>98</v>
      </c>
      <c r="G29" s="15" t="s">
        <v>99</v>
      </c>
      <c r="H29" s="17">
        <v>27</v>
      </c>
      <c r="I29" s="17">
        <v>95.89</v>
      </c>
      <c r="J29" s="15">
        <v>96.99</v>
      </c>
      <c r="K29" s="15">
        <v>96.98</v>
      </c>
    </row>
    <row r="30" spans="1:11">
      <c r="A30" s="15"/>
      <c r="B30" s="15" t="s">
        <v>108</v>
      </c>
      <c r="C30" s="15" t="s">
        <v>93</v>
      </c>
      <c r="D30" s="15" t="s">
        <v>94</v>
      </c>
      <c r="E30" s="15" t="s">
        <v>66</v>
      </c>
      <c r="F30" s="15" t="s">
        <v>98</v>
      </c>
      <c r="G30" s="15" t="s">
        <v>100</v>
      </c>
      <c r="H30" s="17">
        <v>1</v>
      </c>
      <c r="I30" s="17">
        <v>97.5</v>
      </c>
      <c r="J30" s="15">
        <v>96.99</v>
      </c>
      <c r="K30" s="15">
        <v>96.98</v>
      </c>
    </row>
    <row r="31" spans="1:11">
      <c r="A31" s="15"/>
      <c r="B31" s="15" t="s">
        <v>108</v>
      </c>
      <c r="C31" s="15" t="s">
        <v>93</v>
      </c>
      <c r="D31" s="15" t="s">
        <v>94</v>
      </c>
      <c r="E31" s="15" t="s">
        <v>66</v>
      </c>
      <c r="F31" s="15" t="s">
        <v>98</v>
      </c>
      <c r="G31" s="15" t="s">
        <v>99</v>
      </c>
      <c r="H31" s="17">
        <v>23</v>
      </c>
      <c r="I31" s="17">
        <v>97.11</v>
      </c>
      <c r="J31" s="15">
        <v>96.99</v>
      </c>
      <c r="K31" s="15">
        <v>96.98</v>
      </c>
    </row>
  </sheetData>
  <mergeCells count="55">
    <mergeCell ref="A1:K1"/>
    <mergeCell ref="A4:A10"/>
    <mergeCell ref="A11:A13"/>
    <mergeCell ref="A15:A16"/>
    <mergeCell ref="A17:A18"/>
    <mergeCell ref="A19:A22"/>
    <mergeCell ref="A23:A31"/>
    <mergeCell ref="B4:B10"/>
    <mergeCell ref="B11:B13"/>
    <mergeCell ref="B15:B16"/>
    <mergeCell ref="B17:B18"/>
    <mergeCell ref="B19:B22"/>
    <mergeCell ref="B23:B31"/>
    <mergeCell ref="C4:C10"/>
    <mergeCell ref="C11:C13"/>
    <mergeCell ref="C15:C16"/>
    <mergeCell ref="C17:C18"/>
    <mergeCell ref="C19:C22"/>
    <mergeCell ref="C23:C31"/>
    <mergeCell ref="D4:D10"/>
    <mergeCell ref="D11:D13"/>
    <mergeCell ref="D15:D16"/>
    <mergeCell ref="D17:D18"/>
    <mergeCell ref="D19:D22"/>
    <mergeCell ref="D23:D31"/>
    <mergeCell ref="E4:E10"/>
    <mergeCell ref="E11:E13"/>
    <mergeCell ref="E15:E16"/>
    <mergeCell ref="E17:E18"/>
    <mergeCell ref="E19:E22"/>
    <mergeCell ref="E23:E31"/>
    <mergeCell ref="F4:F5"/>
    <mergeCell ref="F7:F8"/>
    <mergeCell ref="F11:F13"/>
    <mergeCell ref="F15:F16"/>
    <mergeCell ref="F17:F18"/>
    <mergeCell ref="F19:F20"/>
    <mergeCell ref="F21:F22"/>
    <mergeCell ref="F23:F26"/>
    <mergeCell ref="F27:F31"/>
    <mergeCell ref="J4:J5"/>
    <mergeCell ref="J7:J8"/>
    <mergeCell ref="J11:J13"/>
    <mergeCell ref="J15:J16"/>
    <mergeCell ref="J17:J18"/>
    <mergeCell ref="J19:J20"/>
    <mergeCell ref="J21:J22"/>
    <mergeCell ref="J23:J26"/>
    <mergeCell ref="J27:J31"/>
    <mergeCell ref="K4:K10"/>
    <mergeCell ref="K11:K13"/>
    <mergeCell ref="K15:K16"/>
    <mergeCell ref="K17:K18"/>
    <mergeCell ref="K19:K22"/>
    <mergeCell ref="K23:K3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8"/>
  <sheetViews>
    <sheetView workbookViewId="0">
      <selection activeCell="J16" sqref="J16"/>
    </sheetView>
  </sheetViews>
  <sheetFormatPr defaultColWidth="9.81818181818182" defaultRowHeight="15"/>
  <cols>
    <col min="1" max="1" width="10.6363636363636" style="8" customWidth="1"/>
    <col min="2" max="2" width="8.18181818181818" style="8" customWidth="1"/>
    <col min="3" max="4" width="6" style="8" customWidth="1"/>
    <col min="5" max="5" width="8.18181818181818" style="8" customWidth="1"/>
    <col min="6" max="6" width="11.4545454545455" style="8" customWidth="1"/>
    <col min="7" max="9" width="10.3636363636364" style="8" customWidth="1"/>
    <col min="10" max="16384" width="9.81818181818182" style="8"/>
  </cols>
  <sheetData>
    <row r="1" ht="171" customHeight="1" spans="1:9">
      <c r="A1" s="5" t="s">
        <v>109</v>
      </c>
      <c r="B1" s="6"/>
      <c r="C1" s="6"/>
      <c r="D1" s="6"/>
      <c r="E1" s="6"/>
      <c r="F1" s="6"/>
      <c r="G1" s="7"/>
      <c r="H1" s="9"/>
      <c r="I1" s="9"/>
    </row>
    <row r="2" ht="14.25" customHeight="1" spans="1:9">
      <c r="A2" s="10"/>
      <c r="B2" s="10"/>
      <c r="C2" s="10"/>
      <c r="D2" s="10"/>
      <c r="E2" s="10"/>
      <c r="F2" s="10"/>
      <c r="G2" s="9"/>
      <c r="H2" s="9"/>
      <c r="I2" s="9"/>
    </row>
    <row r="3" ht="14.25" customHeight="1" spans="1:9">
      <c r="A3" s="10"/>
      <c r="B3" s="10"/>
      <c r="C3" s="10"/>
      <c r="D3" s="10"/>
      <c r="E3" s="10"/>
      <c r="F3" s="10"/>
      <c r="G3" s="9"/>
      <c r="H3" s="9"/>
      <c r="I3" s="9"/>
    </row>
    <row r="4" ht="14.25" customHeight="1" spans="1:9">
      <c r="A4" s="10"/>
      <c r="B4" s="10"/>
      <c r="C4" s="10"/>
      <c r="D4" s="10"/>
      <c r="E4" s="10"/>
      <c r="F4" s="10"/>
      <c r="G4" s="9"/>
      <c r="H4" s="9"/>
      <c r="I4" s="9"/>
    </row>
    <row r="5" ht="14.25" customHeight="1" spans="1:9">
      <c r="A5" s="8" t="s">
        <v>110</v>
      </c>
      <c r="F5" s="11"/>
    </row>
    <row r="6" spans="1:9">
      <c r="A6" s="8" t="s">
        <v>111</v>
      </c>
      <c r="F6" s="11"/>
    </row>
    <row r="7" spans="1:9">
      <c r="A7" s="8" t="s">
        <v>112</v>
      </c>
      <c r="B7" s="8" t="s">
        <v>113</v>
      </c>
      <c r="C7" s="8" t="s">
        <v>36</v>
      </c>
      <c r="D7" s="8" t="s">
        <v>114</v>
      </c>
      <c r="E7" s="8" t="s">
        <v>38</v>
      </c>
      <c r="F7" s="11" t="s">
        <v>115</v>
      </c>
      <c r="G7" s="8" t="s">
        <v>116</v>
      </c>
      <c r="H7" s="8" t="s">
        <v>117</v>
      </c>
      <c r="I7" s="8" t="s">
        <v>118</v>
      </c>
    </row>
    <row r="8" spans="1:9">
      <c r="A8" s="8" t="s">
        <v>119</v>
      </c>
      <c r="B8" s="37" t="s">
        <v>120</v>
      </c>
      <c r="C8" s="8" t="s">
        <v>121</v>
      </c>
      <c r="D8" s="8" t="s">
        <v>122</v>
      </c>
      <c r="E8" s="8" t="s">
        <v>53</v>
      </c>
      <c r="F8" s="12">
        <v>25087</v>
      </c>
      <c r="G8" s="8">
        <v>2700</v>
      </c>
      <c r="H8" s="8">
        <v>1500</v>
      </c>
      <c r="I8" s="8">
        <f t="shared" ref="I8:I14" si="0">G8+H8</f>
        <v>4200</v>
      </c>
    </row>
    <row r="9" spans="1:9">
      <c r="A9" s="8" t="s">
        <v>123</v>
      </c>
      <c r="B9" s="37" t="s">
        <v>124</v>
      </c>
      <c r="C9" s="8" t="s">
        <v>125</v>
      </c>
      <c r="D9" s="8" t="s">
        <v>126</v>
      </c>
      <c r="E9" s="8" t="s">
        <v>127</v>
      </c>
      <c r="F9" s="12">
        <v>23397</v>
      </c>
      <c r="G9" s="8">
        <v>3300</v>
      </c>
      <c r="H9" s="8">
        <v>1800</v>
      </c>
      <c r="I9" s="8">
        <f t="shared" si="0"/>
        <v>5100</v>
      </c>
    </row>
    <row r="10" spans="1:9">
      <c r="A10" s="8" t="s">
        <v>123</v>
      </c>
      <c r="B10" s="37" t="s">
        <v>128</v>
      </c>
      <c r="C10" s="8" t="s">
        <v>129</v>
      </c>
      <c r="D10" s="8" t="s">
        <v>122</v>
      </c>
      <c r="E10" s="8" t="s">
        <v>48</v>
      </c>
      <c r="F10" s="12">
        <v>28895</v>
      </c>
      <c r="G10" s="8">
        <v>1800</v>
      </c>
      <c r="H10" s="8">
        <v>700</v>
      </c>
      <c r="I10" s="8">
        <f t="shared" si="0"/>
        <v>2500</v>
      </c>
    </row>
    <row r="11" spans="1:9">
      <c r="A11" s="8" t="s">
        <v>130</v>
      </c>
      <c r="B11" s="37" t="s">
        <v>131</v>
      </c>
      <c r="C11" s="8" t="s">
        <v>132</v>
      </c>
      <c r="D11" s="8" t="s">
        <v>122</v>
      </c>
      <c r="E11" s="8" t="s">
        <v>73</v>
      </c>
      <c r="F11" s="12">
        <v>26332</v>
      </c>
      <c r="G11" s="8">
        <v>2100</v>
      </c>
      <c r="H11" s="8">
        <v>1000</v>
      </c>
      <c r="I11" s="8">
        <f t="shared" si="0"/>
        <v>3100</v>
      </c>
    </row>
    <row r="12" spans="1:9">
      <c r="A12" s="8" t="s">
        <v>130</v>
      </c>
      <c r="B12" s="37" t="s">
        <v>133</v>
      </c>
      <c r="C12" s="8" t="s">
        <v>134</v>
      </c>
      <c r="D12" s="8" t="s">
        <v>126</v>
      </c>
      <c r="E12" s="8" t="s">
        <v>53</v>
      </c>
      <c r="F12" s="12">
        <v>26398</v>
      </c>
      <c r="G12" s="8">
        <v>2750</v>
      </c>
      <c r="H12" s="8">
        <v>1500</v>
      </c>
      <c r="I12" s="8">
        <f t="shared" si="0"/>
        <v>4250</v>
      </c>
    </row>
    <row r="13" spans="1:9">
      <c r="A13" s="8" t="s">
        <v>119</v>
      </c>
      <c r="B13" s="37" t="s">
        <v>135</v>
      </c>
      <c r="C13" s="8" t="s">
        <v>136</v>
      </c>
      <c r="D13" s="8" t="s">
        <v>126</v>
      </c>
      <c r="E13" s="8" t="s">
        <v>73</v>
      </c>
      <c r="F13" s="12">
        <v>27280</v>
      </c>
      <c r="G13" s="8">
        <v>2300</v>
      </c>
      <c r="H13" s="8">
        <v>1000</v>
      </c>
      <c r="I13" s="8">
        <f t="shared" si="0"/>
        <v>3300</v>
      </c>
    </row>
    <row r="14" spans="1:9">
      <c r="A14" s="8" t="s">
        <v>123</v>
      </c>
      <c r="B14" s="37" t="s">
        <v>137</v>
      </c>
      <c r="C14" s="8" t="s">
        <v>138</v>
      </c>
      <c r="D14" s="8" t="s">
        <v>122</v>
      </c>
      <c r="E14" s="8" t="s">
        <v>73</v>
      </c>
      <c r="F14" s="12">
        <v>27522</v>
      </c>
      <c r="G14" s="8">
        <v>2350</v>
      </c>
      <c r="H14" s="8">
        <v>1000</v>
      </c>
      <c r="I14" s="8">
        <f t="shared" si="0"/>
        <v>3350</v>
      </c>
    </row>
    <row r="15" spans="1:9">
      <c r="A15" s="4"/>
      <c r="B15" s="4"/>
      <c r="C15" s="4"/>
      <c r="D15" s="4"/>
      <c r="E15" s="4"/>
      <c r="F15" s="4"/>
      <c r="G15" s="4"/>
      <c r="H15" s="4"/>
      <c r="I15" s="4"/>
    </row>
    <row r="16" spans="1:9">
      <c r="A16" s="4"/>
      <c r="B16" s="4"/>
      <c r="C16" s="4"/>
      <c r="D16" s="4"/>
      <c r="E16" s="4"/>
      <c r="F16" s="4"/>
      <c r="G16" s="4"/>
      <c r="H16" s="4"/>
      <c r="I16" s="4"/>
    </row>
    <row r="17" spans="1:9">
      <c r="A17" s="4"/>
      <c r="B17" s="4"/>
      <c r="C17" s="4"/>
      <c r="D17" s="4"/>
      <c r="E17" s="4"/>
      <c r="F17" s="4"/>
      <c r="G17" s="4"/>
      <c r="H17" s="4"/>
      <c r="I17" s="4"/>
    </row>
    <row r="18" spans="1:9">
      <c r="A18" s="4"/>
      <c r="B18" s="4"/>
      <c r="C18" s="4"/>
      <c r="D18" s="4"/>
      <c r="E18" s="4"/>
      <c r="F18" s="4"/>
      <c r="G18" s="4"/>
      <c r="H18" s="4"/>
      <c r="I18" s="4"/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1"/>
  <sheetViews>
    <sheetView topLeftCell="A13" workbookViewId="0">
      <selection activeCell="J31" sqref="J31"/>
    </sheetView>
  </sheetViews>
  <sheetFormatPr defaultColWidth="9.81818181818182" defaultRowHeight="15"/>
  <cols>
    <col min="1" max="1" width="10.6363636363636" style="8" customWidth="1"/>
    <col min="2" max="2" width="8.18181818181818" style="8" customWidth="1"/>
    <col min="3" max="4" width="6" style="8" customWidth="1"/>
    <col min="5" max="5" width="8.18181818181818" style="8" customWidth="1"/>
    <col min="6" max="6" width="11.4545454545455" style="8" customWidth="1"/>
    <col min="7" max="9" width="10.3636363636364" style="8" customWidth="1"/>
    <col min="10" max="10" width="12.2727272727273" style="8" customWidth="1"/>
    <col min="11" max="16384" width="9.81818181818182" style="8"/>
  </cols>
  <sheetData>
    <row r="1" ht="107.45" customHeight="1" spans="1:11">
      <c r="A1" s="5" t="s">
        <v>139</v>
      </c>
      <c r="B1" s="6"/>
      <c r="C1" s="6"/>
      <c r="D1" s="6"/>
      <c r="E1" s="6"/>
      <c r="F1" s="6"/>
      <c r="G1" s="7"/>
      <c r="H1" s="9"/>
      <c r="I1" s="9"/>
    </row>
    <row r="2" ht="14.25" customHeight="1" spans="1:11">
      <c r="A2" s="10"/>
      <c r="B2" s="10"/>
      <c r="C2" s="10"/>
      <c r="D2" s="10"/>
      <c r="E2" s="10"/>
      <c r="F2" s="10"/>
      <c r="G2" s="9"/>
      <c r="H2" s="9"/>
      <c r="I2" s="9"/>
    </row>
    <row r="3" ht="14.25" customHeight="1" spans="1:11">
      <c r="A3" s="10"/>
      <c r="B3" s="10"/>
      <c r="C3" s="10"/>
      <c r="D3" s="10"/>
      <c r="E3" s="10"/>
      <c r="F3" s="10"/>
      <c r="G3" s="9"/>
      <c r="H3" s="9"/>
      <c r="I3" s="9"/>
    </row>
    <row r="4" ht="14.25" customHeight="1" spans="1:11">
      <c r="A4" s="10"/>
      <c r="B4" s="10"/>
      <c r="C4" s="10"/>
      <c r="D4" s="10"/>
      <c r="E4" s="10"/>
      <c r="F4" s="10"/>
      <c r="G4" s="9"/>
      <c r="H4" s="9"/>
      <c r="I4" s="9"/>
    </row>
    <row r="5" ht="14.25" customHeight="1" spans="1:11">
      <c r="A5" s="8" t="s">
        <v>110</v>
      </c>
      <c r="F5" s="11"/>
    </row>
    <row r="6" spans="1:11">
      <c r="A6" s="8" t="s">
        <v>111</v>
      </c>
      <c r="F6" s="11"/>
    </row>
    <row r="7" spans="1:11">
      <c r="A7" s="8" t="s">
        <v>112</v>
      </c>
      <c r="B7" s="8" t="s">
        <v>113</v>
      </c>
      <c r="C7" s="8" t="s">
        <v>36</v>
      </c>
      <c r="D7" s="8" t="s">
        <v>114</v>
      </c>
      <c r="E7" s="8" t="s">
        <v>38</v>
      </c>
      <c r="F7" s="11" t="s">
        <v>115</v>
      </c>
      <c r="G7" s="8" t="s">
        <v>116</v>
      </c>
      <c r="H7" s="8" t="s">
        <v>117</v>
      </c>
      <c r="I7" s="8" t="s">
        <v>118</v>
      </c>
      <c r="J7" s="8" t="s">
        <v>140</v>
      </c>
      <c r="K7" s="8" t="s">
        <v>141</v>
      </c>
    </row>
    <row r="8" spans="1:11">
      <c r="A8" s="8" t="s">
        <v>130</v>
      </c>
      <c r="B8" s="37" t="s">
        <v>133</v>
      </c>
      <c r="C8" s="8" t="s">
        <v>134</v>
      </c>
      <c r="D8" s="8" t="s">
        <v>126</v>
      </c>
      <c r="E8" s="8" t="s">
        <v>53</v>
      </c>
      <c r="F8" s="12">
        <v>26398</v>
      </c>
      <c r="G8" s="8">
        <v>2750</v>
      </c>
      <c r="H8" s="8">
        <v>1500</v>
      </c>
      <c r="I8" s="8">
        <f t="shared" ref="I8:I18" si="0">G8+H8</f>
        <v>4250</v>
      </c>
      <c r="J8" s="8" t="str">
        <f t="shared" ref="J8:J18" si="1">IF(E8="教授","是","否")</f>
        <v>否</v>
      </c>
      <c r="K8" s="13" t="s">
        <v>142</v>
      </c>
    </row>
    <row r="9" spans="1:11">
      <c r="A9" s="8" t="s">
        <v>123</v>
      </c>
      <c r="B9" s="37" t="s">
        <v>124</v>
      </c>
      <c r="C9" s="8" t="s">
        <v>125</v>
      </c>
      <c r="D9" s="8" t="s">
        <v>126</v>
      </c>
      <c r="E9" s="8" t="s">
        <v>127</v>
      </c>
      <c r="F9" s="12">
        <v>23397</v>
      </c>
      <c r="G9" s="8">
        <v>3300</v>
      </c>
      <c r="H9" s="8">
        <v>1800</v>
      </c>
      <c r="I9" s="8">
        <f t="shared" si="0"/>
        <v>5100</v>
      </c>
      <c r="J9" s="8" t="str">
        <f t="shared" si="1"/>
        <v>是</v>
      </c>
      <c r="K9" s="13" t="s">
        <v>142</v>
      </c>
    </row>
    <row r="10" spans="1:11">
      <c r="A10" s="8" t="s">
        <v>123</v>
      </c>
      <c r="B10" s="37" t="s">
        <v>124</v>
      </c>
      <c r="C10" s="8" t="s">
        <v>125</v>
      </c>
      <c r="D10" s="8" t="s">
        <v>126</v>
      </c>
      <c r="E10" s="8" t="s">
        <v>127</v>
      </c>
      <c r="F10" s="12">
        <v>23397</v>
      </c>
      <c r="G10" s="8">
        <v>3300</v>
      </c>
      <c r="H10" s="8">
        <v>1800</v>
      </c>
      <c r="I10" s="8">
        <f t="shared" si="0"/>
        <v>5100</v>
      </c>
      <c r="J10" s="8" t="str">
        <f t="shared" si="1"/>
        <v>是</v>
      </c>
      <c r="K10" s="13" t="s">
        <v>142</v>
      </c>
    </row>
    <row r="11" spans="1:11">
      <c r="A11" s="8" t="s">
        <v>123</v>
      </c>
      <c r="B11" s="37" t="s">
        <v>128</v>
      </c>
      <c r="C11" s="8" t="s">
        <v>129</v>
      </c>
      <c r="D11" s="8" t="s">
        <v>122</v>
      </c>
      <c r="E11" s="8" t="s">
        <v>48</v>
      </c>
      <c r="F11" s="12">
        <v>28895</v>
      </c>
      <c r="G11" s="8">
        <v>1800</v>
      </c>
      <c r="H11" s="8">
        <v>700</v>
      </c>
      <c r="I11" s="8">
        <f t="shared" si="0"/>
        <v>2500</v>
      </c>
      <c r="J11" s="8" t="str">
        <f t="shared" si="1"/>
        <v>否</v>
      </c>
      <c r="K11" s="13" t="s">
        <v>142</v>
      </c>
    </row>
    <row r="12" spans="1:11">
      <c r="A12" s="8" t="s">
        <v>123</v>
      </c>
      <c r="B12" s="37" t="s">
        <v>128</v>
      </c>
      <c r="C12" s="8" t="s">
        <v>129</v>
      </c>
      <c r="D12" s="8" t="s">
        <v>122</v>
      </c>
      <c r="E12" s="8" t="s">
        <v>48</v>
      </c>
      <c r="F12" s="12">
        <v>28895</v>
      </c>
      <c r="G12" s="8">
        <v>1800</v>
      </c>
      <c r="H12" s="8">
        <v>700</v>
      </c>
      <c r="I12" s="8">
        <f t="shared" si="0"/>
        <v>2500</v>
      </c>
      <c r="J12" s="8" t="str">
        <f t="shared" si="1"/>
        <v>否</v>
      </c>
      <c r="K12" s="13" t="s">
        <v>142</v>
      </c>
    </row>
    <row r="13" spans="1:11">
      <c r="A13" s="8" t="s">
        <v>123</v>
      </c>
      <c r="B13" s="37" t="s">
        <v>137</v>
      </c>
      <c r="C13" s="8" t="s">
        <v>138</v>
      </c>
      <c r="D13" s="8" t="s">
        <v>122</v>
      </c>
      <c r="E13" s="8" t="s">
        <v>73</v>
      </c>
      <c r="F13" s="12">
        <v>27522</v>
      </c>
      <c r="G13" s="8">
        <v>2350</v>
      </c>
      <c r="H13" s="8">
        <v>1000</v>
      </c>
      <c r="I13" s="8">
        <f t="shared" si="0"/>
        <v>3350</v>
      </c>
      <c r="J13" s="8" t="str">
        <f t="shared" si="1"/>
        <v>否</v>
      </c>
      <c r="K13" s="13" t="s">
        <v>142</v>
      </c>
    </row>
    <row r="14" spans="1:11">
      <c r="A14" s="8" t="s">
        <v>119</v>
      </c>
      <c r="B14" s="37" t="s">
        <v>135</v>
      </c>
      <c r="C14" s="8" t="s">
        <v>136</v>
      </c>
      <c r="D14" s="8" t="s">
        <v>126</v>
      </c>
      <c r="E14" s="8" t="s">
        <v>73</v>
      </c>
      <c r="F14" s="12">
        <v>27280</v>
      </c>
      <c r="G14" s="8">
        <v>2300</v>
      </c>
      <c r="H14" s="8">
        <v>1000</v>
      </c>
      <c r="I14" s="8">
        <f t="shared" si="0"/>
        <v>3300</v>
      </c>
      <c r="J14" s="8" t="str">
        <f t="shared" si="1"/>
        <v>否</v>
      </c>
      <c r="K14" s="13" t="s">
        <v>142</v>
      </c>
    </row>
    <row r="15" spans="1:11">
      <c r="A15" s="8" t="s">
        <v>130</v>
      </c>
      <c r="B15" s="37" t="s">
        <v>131</v>
      </c>
      <c r="C15" s="8" t="s">
        <v>132</v>
      </c>
      <c r="D15" s="8" t="s">
        <v>122</v>
      </c>
      <c r="E15" s="8" t="s">
        <v>73</v>
      </c>
      <c r="F15" s="12">
        <v>26332</v>
      </c>
      <c r="G15" s="8">
        <v>2100</v>
      </c>
      <c r="H15" s="8">
        <v>1000</v>
      </c>
      <c r="I15" s="8">
        <f t="shared" si="0"/>
        <v>3100</v>
      </c>
      <c r="J15" s="8" t="str">
        <f t="shared" si="1"/>
        <v>否</v>
      </c>
      <c r="K15" s="13" t="s">
        <v>142</v>
      </c>
    </row>
    <row r="16" spans="1:11">
      <c r="A16" s="8" t="s">
        <v>130</v>
      </c>
      <c r="B16" s="37" t="s">
        <v>131</v>
      </c>
      <c r="C16" s="8" t="s">
        <v>132</v>
      </c>
      <c r="D16" s="8" t="s">
        <v>122</v>
      </c>
      <c r="E16" s="8" t="s">
        <v>73</v>
      </c>
      <c r="F16" s="12">
        <v>26332</v>
      </c>
      <c r="G16" s="8">
        <v>2100</v>
      </c>
      <c r="H16" s="8">
        <v>1000</v>
      </c>
      <c r="I16" s="8">
        <f t="shared" si="0"/>
        <v>3100</v>
      </c>
      <c r="J16" s="8" t="str">
        <f t="shared" si="1"/>
        <v>否</v>
      </c>
      <c r="K16" s="13" t="s">
        <v>142</v>
      </c>
    </row>
    <row r="17" spans="1:11">
      <c r="A17" s="8" t="s">
        <v>119</v>
      </c>
      <c r="B17" s="37" t="s">
        <v>120</v>
      </c>
      <c r="C17" s="8" t="s">
        <v>121</v>
      </c>
      <c r="D17" s="8" t="s">
        <v>122</v>
      </c>
      <c r="E17" s="8" t="s">
        <v>53</v>
      </c>
      <c r="F17" s="12">
        <v>25087</v>
      </c>
      <c r="G17" s="8">
        <v>2700</v>
      </c>
      <c r="H17" s="8">
        <v>1500</v>
      </c>
      <c r="I17" s="8">
        <f t="shared" si="0"/>
        <v>4200</v>
      </c>
      <c r="J17" s="8" t="str">
        <f t="shared" si="1"/>
        <v>否</v>
      </c>
      <c r="K17" s="13" t="s">
        <v>142</v>
      </c>
    </row>
    <row r="18" spans="1:11">
      <c r="A18" s="8" t="s">
        <v>119</v>
      </c>
      <c r="B18" s="37" t="s">
        <v>120</v>
      </c>
      <c r="C18" s="8" t="s">
        <v>121</v>
      </c>
      <c r="D18" s="8" t="s">
        <v>122</v>
      </c>
      <c r="E18" s="8" t="s">
        <v>53</v>
      </c>
      <c r="F18" s="12">
        <v>25087</v>
      </c>
      <c r="G18" s="8">
        <v>2700</v>
      </c>
      <c r="H18" s="8">
        <v>1500</v>
      </c>
      <c r="I18" s="8">
        <f t="shared" si="0"/>
        <v>4200</v>
      </c>
      <c r="J18" s="8" t="str">
        <f t="shared" si="1"/>
        <v>否</v>
      </c>
      <c r="K18" s="13" t="s">
        <v>142</v>
      </c>
    </row>
    <row r="30" spans="1:11">
      <c r="A30" s="8" t="s">
        <v>112</v>
      </c>
      <c r="B30" s="8" t="s">
        <v>113</v>
      </c>
      <c r="C30" s="8" t="s">
        <v>36</v>
      </c>
      <c r="D30" s="8" t="s">
        <v>114</v>
      </c>
      <c r="E30" s="8" t="s">
        <v>38</v>
      </c>
      <c r="F30" s="11" t="s">
        <v>115</v>
      </c>
      <c r="G30" s="8" t="s">
        <v>116</v>
      </c>
      <c r="H30" s="8" t="s">
        <v>117</v>
      </c>
      <c r="I30" s="8" t="s">
        <v>118</v>
      </c>
      <c r="J30" s="8" t="s">
        <v>141</v>
      </c>
    </row>
    <row r="31" spans="1:11">
      <c r="A31" s="8" t="s">
        <v>119</v>
      </c>
      <c r="B31" s="37" t="s">
        <v>120</v>
      </c>
      <c r="C31" s="8" t="s">
        <v>121</v>
      </c>
      <c r="D31" s="8" t="s">
        <v>122</v>
      </c>
      <c r="E31" s="8" t="s">
        <v>53</v>
      </c>
      <c r="F31" s="12">
        <v>25087</v>
      </c>
      <c r="G31" s="8">
        <v>2700</v>
      </c>
      <c r="H31" s="8">
        <v>1500</v>
      </c>
      <c r="I31" s="8">
        <f t="shared" ref="I31:I41" si="2">G31+H31</f>
        <v>4200</v>
      </c>
      <c r="J31" s="8" t="str">
        <f t="shared" ref="J31:J41" si="3">VLOOKUP(C31,$C$8:$K$18,9,0)</f>
        <v>是</v>
      </c>
    </row>
    <row r="32" spans="1:11">
      <c r="A32" s="8" t="s">
        <v>123</v>
      </c>
      <c r="B32" s="37" t="s">
        <v>124</v>
      </c>
      <c r="C32" s="8" t="s">
        <v>125</v>
      </c>
      <c r="D32" s="8" t="s">
        <v>126</v>
      </c>
      <c r="E32" s="8" t="s">
        <v>127</v>
      </c>
      <c r="F32" s="12">
        <v>23397</v>
      </c>
      <c r="G32" s="8">
        <v>3300</v>
      </c>
      <c r="H32" s="8">
        <v>1800</v>
      </c>
      <c r="I32" s="8">
        <f t="shared" si="2"/>
        <v>5100</v>
      </c>
      <c r="J32" s="8" t="str">
        <f t="shared" si="3"/>
        <v>是</v>
      </c>
    </row>
    <row r="33" spans="1:10">
      <c r="A33" s="8" t="s">
        <v>123</v>
      </c>
      <c r="B33" s="37" t="s">
        <v>128</v>
      </c>
      <c r="C33" s="8" t="s">
        <v>129</v>
      </c>
      <c r="D33" s="8" t="s">
        <v>122</v>
      </c>
      <c r="E33" s="8" t="s">
        <v>48</v>
      </c>
      <c r="F33" s="12">
        <v>28895</v>
      </c>
      <c r="G33" s="8">
        <v>1800</v>
      </c>
      <c r="H33" s="8">
        <v>700</v>
      </c>
      <c r="I33" s="8">
        <f t="shared" si="2"/>
        <v>2500</v>
      </c>
      <c r="J33" s="8" t="str">
        <f t="shared" si="3"/>
        <v>是</v>
      </c>
    </row>
    <row r="34" spans="1:10">
      <c r="A34" s="8" t="s">
        <v>119</v>
      </c>
      <c r="B34" s="37" t="s">
        <v>120</v>
      </c>
      <c r="C34" s="8" t="s">
        <v>121</v>
      </c>
      <c r="D34" s="8" t="s">
        <v>122</v>
      </c>
      <c r="E34" s="8" t="s">
        <v>53</v>
      </c>
      <c r="F34" s="12">
        <v>25087</v>
      </c>
      <c r="G34" s="8">
        <v>2700</v>
      </c>
      <c r="H34" s="8">
        <v>1500</v>
      </c>
      <c r="I34" s="8">
        <f t="shared" si="2"/>
        <v>4200</v>
      </c>
      <c r="J34" s="8" t="str">
        <f t="shared" si="3"/>
        <v>是</v>
      </c>
    </row>
    <row r="35" spans="1:10">
      <c r="A35" s="8" t="s">
        <v>130</v>
      </c>
      <c r="B35" s="37" t="s">
        <v>131</v>
      </c>
      <c r="C35" s="8" t="s">
        <v>143</v>
      </c>
      <c r="D35" s="8" t="s">
        <v>122</v>
      </c>
      <c r="E35" s="8" t="s">
        <v>73</v>
      </c>
      <c r="F35" s="12">
        <v>26332</v>
      </c>
      <c r="G35" s="8">
        <v>2100</v>
      </c>
      <c r="H35" s="8">
        <v>1000</v>
      </c>
      <c r="I35" s="8">
        <f t="shared" si="2"/>
        <v>3100</v>
      </c>
      <c r="J35" s="8" t="e">
        <f t="shared" si="3"/>
        <v>#N/A</v>
      </c>
    </row>
    <row r="36" spans="1:10">
      <c r="A36" s="8" t="s">
        <v>130</v>
      </c>
      <c r="B36" s="37" t="s">
        <v>133</v>
      </c>
      <c r="C36" s="8" t="s">
        <v>134</v>
      </c>
      <c r="D36" s="8" t="s">
        <v>126</v>
      </c>
      <c r="E36" s="8" t="s">
        <v>53</v>
      </c>
      <c r="F36" s="12">
        <v>26398</v>
      </c>
      <c r="G36" s="8">
        <v>2750</v>
      </c>
      <c r="H36" s="8">
        <v>1500</v>
      </c>
      <c r="I36" s="8">
        <f t="shared" si="2"/>
        <v>4250</v>
      </c>
      <c r="J36" s="8" t="str">
        <f t="shared" si="3"/>
        <v>是</v>
      </c>
    </row>
    <row r="37" spans="1:10">
      <c r="A37" s="8" t="s">
        <v>119</v>
      </c>
      <c r="B37" s="37" t="s">
        <v>135</v>
      </c>
      <c r="C37" s="8" t="s">
        <v>136</v>
      </c>
      <c r="D37" s="8" t="s">
        <v>126</v>
      </c>
      <c r="E37" s="8" t="s">
        <v>73</v>
      </c>
      <c r="F37" s="12">
        <v>27280</v>
      </c>
      <c r="G37" s="8">
        <v>2300</v>
      </c>
      <c r="H37" s="8">
        <v>1000</v>
      </c>
      <c r="I37" s="8">
        <f t="shared" si="2"/>
        <v>3300</v>
      </c>
      <c r="J37" s="8" t="str">
        <f t="shared" si="3"/>
        <v>是</v>
      </c>
    </row>
    <row r="38" spans="1:10">
      <c r="A38" s="8" t="s">
        <v>123</v>
      </c>
      <c r="B38" s="37" t="s">
        <v>137</v>
      </c>
      <c r="C38" s="8" t="s">
        <v>138</v>
      </c>
      <c r="D38" s="8" t="s">
        <v>122</v>
      </c>
      <c r="E38" s="8" t="s">
        <v>73</v>
      </c>
      <c r="F38" s="12">
        <v>27522</v>
      </c>
      <c r="G38" s="8">
        <v>2350</v>
      </c>
      <c r="H38" s="8">
        <v>1000</v>
      </c>
      <c r="I38" s="8">
        <f t="shared" si="2"/>
        <v>3350</v>
      </c>
      <c r="J38" s="8" t="str">
        <f t="shared" si="3"/>
        <v>是</v>
      </c>
    </row>
    <row r="39" spans="1:10">
      <c r="A39" s="8" t="s">
        <v>123</v>
      </c>
      <c r="B39" s="37" t="s">
        <v>128</v>
      </c>
      <c r="C39" s="8" t="s">
        <v>144</v>
      </c>
      <c r="D39" s="8" t="s">
        <v>122</v>
      </c>
      <c r="E39" s="8" t="s">
        <v>48</v>
      </c>
      <c r="F39" s="12">
        <v>28895</v>
      </c>
      <c r="G39" s="8">
        <v>1800</v>
      </c>
      <c r="H39" s="8">
        <v>700</v>
      </c>
      <c r="I39" s="8">
        <f t="shared" si="2"/>
        <v>2500</v>
      </c>
      <c r="J39" s="8" t="e">
        <f t="shared" si="3"/>
        <v>#N/A</v>
      </c>
    </row>
    <row r="40" spans="1:10">
      <c r="A40" s="8" t="s">
        <v>130</v>
      </c>
      <c r="B40" s="37" t="s">
        <v>131</v>
      </c>
      <c r="C40" s="8" t="s">
        <v>132</v>
      </c>
      <c r="D40" s="8" t="s">
        <v>122</v>
      </c>
      <c r="E40" s="8" t="s">
        <v>73</v>
      </c>
      <c r="F40" s="12">
        <v>26332</v>
      </c>
      <c r="G40" s="8">
        <v>2100</v>
      </c>
      <c r="H40" s="8">
        <v>1000</v>
      </c>
      <c r="I40" s="8">
        <f t="shared" si="2"/>
        <v>3100</v>
      </c>
      <c r="J40" s="8" t="str">
        <f t="shared" si="3"/>
        <v>是</v>
      </c>
    </row>
    <row r="41" spans="1:10">
      <c r="A41" s="8" t="s">
        <v>123</v>
      </c>
      <c r="B41" s="37" t="s">
        <v>124</v>
      </c>
      <c r="C41" s="8" t="s">
        <v>125</v>
      </c>
      <c r="D41" s="8" t="s">
        <v>126</v>
      </c>
      <c r="E41" s="8" t="s">
        <v>127</v>
      </c>
      <c r="F41" s="12">
        <v>23397</v>
      </c>
      <c r="G41" s="8">
        <v>3300</v>
      </c>
      <c r="H41" s="8">
        <v>1800</v>
      </c>
      <c r="I41" s="8">
        <f t="shared" si="2"/>
        <v>5100</v>
      </c>
      <c r="J41" s="8" t="str">
        <f t="shared" si="3"/>
        <v>是</v>
      </c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"/>
  <sheetViews>
    <sheetView workbookViewId="0">
      <selection activeCell="D5" sqref="D5"/>
    </sheetView>
  </sheetViews>
  <sheetFormatPr defaultColWidth="9.81818181818182" defaultRowHeight="15" outlineLevelCol="6"/>
  <cols>
    <col min="1" max="16384" width="9.81818181818182" style="4"/>
  </cols>
  <sheetData>
    <row r="1" ht="84.75" customHeight="1" spans="1:7">
      <c r="A1" s="5" t="s">
        <v>145</v>
      </c>
      <c r="B1" s="6"/>
      <c r="C1" s="6"/>
      <c r="D1" s="6"/>
      <c r="E1" s="6"/>
      <c r="F1" s="6"/>
      <c r="G1" s="7"/>
    </row>
  </sheetData>
  <mergeCells count="1">
    <mergeCell ref="A1:G1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.81818181818182" defaultRowHeight="15"/>
  <cols>
    <col min="1" max="16384" width="9.81818181818182" style="4"/>
  </cols>
  <sheetData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68"/>
  <sheetViews>
    <sheetView workbookViewId="0">
      <selection activeCell="A1" sqref="A1"/>
    </sheetView>
  </sheetViews>
  <sheetFormatPr defaultColWidth="9" defaultRowHeight="14"/>
  <cols>
    <col min="1" max="1" width="20" style="1" customWidth="1"/>
    <col min="2" max="2" width="10" style="1" customWidth="1"/>
    <col min="3" max="3" width="20" style="1" customWidth="1"/>
    <col min="4" max="4" width="10" style="1" customWidth="1"/>
    <col min="5" max="5" width="15" style="1" customWidth="1"/>
    <col min="6" max="15" width="10" style="1" customWidth="1"/>
    <col min="16" max="16384" width="9" style="1"/>
  </cols>
  <sheetData>
    <row r="1" ht="20" customHeight="1" spans="1:15">
      <c r="A1" s="2" t="s">
        <v>146</v>
      </c>
      <c r="B1" s="2" t="s">
        <v>147</v>
      </c>
      <c r="C1" s="2" t="s">
        <v>148</v>
      </c>
      <c r="D1" s="2" t="s">
        <v>149</v>
      </c>
      <c r="E1" s="2" t="s">
        <v>150</v>
      </c>
      <c r="F1" s="2" t="s">
        <v>151</v>
      </c>
      <c r="G1" s="2" t="s">
        <v>152</v>
      </c>
      <c r="H1" s="2" t="s">
        <v>153</v>
      </c>
      <c r="I1" s="2" t="s">
        <v>154</v>
      </c>
      <c r="J1" s="2" t="s">
        <v>155</v>
      </c>
      <c r="K1" s="2" t="s">
        <v>156</v>
      </c>
      <c r="L1" s="2" t="s">
        <v>157</v>
      </c>
      <c r="M1" s="2" t="s">
        <v>158</v>
      </c>
      <c r="N1" s="2" t="s">
        <v>159</v>
      </c>
      <c r="O1" s="2" t="s">
        <v>160</v>
      </c>
    </row>
    <row r="2" spans="1:15">
      <c r="A2" s="1" t="s">
        <v>161</v>
      </c>
      <c r="B2" s="3">
        <v>0</v>
      </c>
      <c r="C2" s="1" t="s">
        <v>162</v>
      </c>
      <c r="D2" s="3">
        <v>100</v>
      </c>
      <c r="E2" s="1" t="s">
        <v>163</v>
      </c>
      <c r="F2" s="3">
        <v>41</v>
      </c>
      <c r="G2" s="3" t="s">
        <v>164</v>
      </c>
      <c r="H2" s="3" t="s">
        <v>165</v>
      </c>
      <c r="I2" s="3" t="s">
        <v>165</v>
      </c>
      <c r="J2" s="3" t="s">
        <v>165</v>
      </c>
      <c r="K2" s="3">
        <v>44</v>
      </c>
      <c r="L2" s="1" t="s">
        <v>166</v>
      </c>
      <c r="M2" s="3" t="s">
        <v>167</v>
      </c>
    </row>
    <row r="3" spans="1:15">
      <c r="A3" s="1" t="s">
        <v>168</v>
      </c>
      <c r="B3" s="3">
        <v>0</v>
      </c>
      <c r="C3" s="1" t="s">
        <v>169</v>
      </c>
      <c r="D3" s="3">
        <v>101</v>
      </c>
      <c r="E3" s="1" t="s">
        <v>163</v>
      </c>
      <c r="F3" s="3">
        <v>35</v>
      </c>
      <c r="G3" s="3" t="s">
        <v>164</v>
      </c>
      <c r="H3" s="3" t="s">
        <v>165</v>
      </c>
      <c r="I3" s="3" t="s">
        <v>165</v>
      </c>
      <c r="J3" s="3" t="s">
        <v>165</v>
      </c>
      <c r="K3" s="3">
        <v>18</v>
      </c>
      <c r="L3" s="1" t="s">
        <v>166</v>
      </c>
      <c r="M3" s="3" t="s">
        <v>170</v>
      </c>
    </row>
    <row r="4" spans="1:15">
      <c r="B4" s="3"/>
      <c r="C4" s="1" t="s">
        <v>171</v>
      </c>
      <c r="D4" s="3">
        <v>102</v>
      </c>
      <c r="E4" s="1" t="s">
        <v>163</v>
      </c>
      <c r="F4" s="3">
        <v>35</v>
      </c>
      <c r="G4" s="3" t="s">
        <v>164</v>
      </c>
      <c r="H4" s="3" t="s">
        <v>165</v>
      </c>
      <c r="I4" s="3" t="s">
        <v>165</v>
      </c>
      <c r="J4" s="3" t="s">
        <v>165</v>
      </c>
      <c r="K4" s="3">
        <v>0</v>
      </c>
      <c r="L4" s="1" t="s">
        <v>166</v>
      </c>
      <c r="M4" s="3" t="s">
        <v>167</v>
      </c>
    </row>
    <row r="5" spans="1:15">
      <c r="B5" s="3"/>
      <c r="C5" s="1" t="s">
        <v>172</v>
      </c>
      <c r="D5" s="3">
        <v>103</v>
      </c>
      <c r="E5" s="1" t="s">
        <v>163</v>
      </c>
      <c r="F5" s="3">
        <v>39</v>
      </c>
      <c r="G5" s="3" t="s">
        <v>164</v>
      </c>
      <c r="H5" s="3" t="s">
        <v>165</v>
      </c>
      <c r="I5" s="3" t="s">
        <v>165</v>
      </c>
      <c r="J5" s="3" t="s">
        <v>165</v>
      </c>
      <c r="K5" s="3">
        <v>50</v>
      </c>
      <c r="L5" s="1" t="s">
        <v>166</v>
      </c>
      <c r="M5" s="3" t="s">
        <v>167</v>
      </c>
    </row>
    <row r="6" spans="1:15">
      <c r="B6" s="3"/>
      <c r="C6" s="1" t="s">
        <v>173</v>
      </c>
      <c r="D6" s="3">
        <v>104</v>
      </c>
      <c r="E6" s="1" t="s">
        <v>163</v>
      </c>
      <c r="F6" s="3">
        <v>32</v>
      </c>
      <c r="G6" s="3" t="s">
        <v>164</v>
      </c>
      <c r="H6" s="3" t="s">
        <v>165</v>
      </c>
      <c r="I6" s="3" t="s">
        <v>165</v>
      </c>
      <c r="J6" s="3" t="s">
        <v>165</v>
      </c>
      <c r="K6" s="3">
        <v>0</v>
      </c>
      <c r="L6" s="1" t="s">
        <v>166</v>
      </c>
      <c r="M6" s="3" t="s">
        <v>170</v>
      </c>
    </row>
    <row r="7" spans="1:15">
      <c r="B7" s="3"/>
      <c r="C7" s="1" t="s">
        <v>174</v>
      </c>
      <c r="D7" s="3">
        <v>105</v>
      </c>
      <c r="E7" s="1" t="s">
        <v>163</v>
      </c>
      <c r="F7" s="3">
        <v>32</v>
      </c>
      <c r="G7" s="3" t="s">
        <v>164</v>
      </c>
      <c r="H7" s="3" t="s">
        <v>165</v>
      </c>
      <c r="I7" s="3" t="s">
        <v>165</v>
      </c>
      <c r="J7" s="3" t="s">
        <v>165</v>
      </c>
      <c r="K7" s="3">
        <v>0</v>
      </c>
      <c r="L7" s="1" t="s">
        <v>166</v>
      </c>
      <c r="M7" s="3" t="s">
        <v>167</v>
      </c>
    </row>
    <row r="8" spans="1:15">
      <c r="B8" s="3"/>
      <c r="C8" s="1" t="s">
        <v>175</v>
      </c>
      <c r="D8" s="3">
        <v>90</v>
      </c>
      <c r="E8" s="1" t="s">
        <v>163</v>
      </c>
      <c r="F8" s="3">
        <v>41</v>
      </c>
      <c r="G8" s="3" t="s">
        <v>164</v>
      </c>
      <c r="H8" s="3" t="s">
        <v>165</v>
      </c>
      <c r="I8" s="3" t="s">
        <v>165</v>
      </c>
      <c r="J8" s="3" t="s">
        <v>165</v>
      </c>
      <c r="K8" s="3">
        <v>0</v>
      </c>
      <c r="L8" s="1" t="s">
        <v>166</v>
      </c>
      <c r="M8" s="3" t="s">
        <v>176</v>
      </c>
    </row>
    <row r="9" spans="1:15">
      <c r="B9" s="3"/>
      <c r="C9" s="1" t="s">
        <v>177</v>
      </c>
      <c r="D9" s="3">
        <v>91</v>
      </c>
      <c r="E9" s="1" t="s">
        <v>163</v>
      </c>
      <c r="F9" s="3">
        <v>41</v>
      </c>
      <c r="G9" s="3" t="s">
        <v>164</v>
      </c>
      <c r="H9" s="3" t="s">
        <v>165</v>
      </c>
      <c r="I9" s="3" t="s">
        <v>165</v>
      </c>
      <c r="J9" s="3" t="s">
        <v>165</v>
      </c>
      <c r="K9" s="3">
        <v>0</v>
      </c>
      <c r="L9" s="1" t="s">
        <v>166</v>
      </c>
      <c r="M9" s="3" t="s">
        <v>178</v>
      </c>
    </row>
    <row r="10" spans="1:15">
      <c r="B10" s="3"/>
      <c r="C10" s="1" t="s">
        <v>179</v>
      </c>
      <c r="D10" s="3">
        <v>10250</v>
      </c>
      <c r="E10" s="1" t="s">
        <v>180</v>
      </c>
      <c r="F10" s="3">
        <v>35</v>
      </c>
      <c r="G10" s="3" t="s">
        <v>165</v>
      </c>
      <c r="H10" s="3" t="s">
        <v>165</v>
      </c>
      <c r="I10" s="3" t="s">
        <v>165</v>
      </c>
      <c r="J10" s="3" t="s">
        <v>165</v>
      </c>
      <c r="K10" s="3">
        <v>0</v>
      </c>
      <c r="L10" s="1" t="s">
        <v>166</v>
      </c>
      <c r="M10" s="3" t="s">
        <v>181</v>
      </c>
    </row>
    <row r="11" spans="1:15">
      <c r="B11" s="3"/>
      <c r="C11" s="1" t="s">
        <v>182</v>
      </c>
      <c r="D11" s="3">
        <v>10251</v>
      </c>
      <c r="E11" s="1" t="s">
        <v>183</v>
      </c>
      <c r="F11" s="3">
        <v>35</v>
      </c>
      <c r="G11" s="3" t="s">
        <v>165</v>
      </c>
      <c r="H11" s="3" t="s">
        <v>165</v>
      </c>
      <c r="I11" s="3" t="s">
        <v>165</v>
      </c>
      <c r="J11" s="3" t="s">
        <v>165</v>
      </c>
      <c r="K11" s="3">
        <v>0</v>
      </c>
      <c r="L11" s="1" t="s">
        <v>166</v>
      </c>
      <c r="M11" s="3" t="s">
        <v>181</v>
      </c>
    </row>
    <row r="12" spans="1:15">
      <c r="B12" s="3"/>
      <c r="C12" s="1" t="s">
        <v>184</v>
      </c>
      <c r="D12" s="3">
        <v>10252</v>
      </c>
      <c r="E12" s="1" t="s">
        <v>185</v>
      </c>
      <c r="F12" s="3">
        <v>35</v>
      </c>
      <c r="G12" s="3" t="s">
        <v>165</v>
      </c>
      <c r="H12" s="3" t="s">
        <v>165</v>
      </c>
      <c r="I12" s="3" t="s">
        <v>165</v>
      </c>
      <c r="J12" s="3" t="s">
        <v>165</v>
      </c>
      <c r="K12" s="3">
        <v>0</v>
      </c>
      <c r="L12" s="1" t="s">
        <v>166</v>
      </c>
      <c r="M12" s="3" t="s">
        <v>181</v>
      </c>
    </row>
    <row r="13" spans="1:15">
      <c r="B13" s="3"/>
      <c r="C13" s="1" t="s">
        <v>186</v>
      </c>
      <c r="D13" s="3">
        <v>1</v>
      </c>
      <c r="E13" s="1" t="s">
        <v>163</v>
      </c>
      <c r="F13" s="3">
        <v>41</v>
      </c>
      <c r="G13" s="3" t="s">
        <v>165</v>
      </c>
      <c r="H13" s="3" t="s">
        <v>165</v>
      </c>
      <c r="I13" s="3" t="s">
        <v>165</v>
      </c>
      <c r="J13" s="3" t="s">
        <v>165</v>
      </c>
      <c r="K13" s="3">
        <v>20</v>
      </c>
      <c r="L13" s="1" t="s">
        <v>166</v>
      </c>
      <c r="M13" s="3" t="s">
        <v>187</v>
      </c>
    </row>
    <row r="14" spans="1:15">
      <c r="B14" s="3"/>
      <c r="C14" s="1" t="s">
        <v>188</v>
      </c>
      <c r="D14" s="3">
        <v>2</v>
      </c>
      <c r="E14" s="1" t="s">
        <v>163</v>
      </c>
      <c r="F14" s="3">
        <v>41</v>
      </c>
      <c r="G14" s="3" t="s">
        <v>165</v>
      </c>
      <c r="H14" s="3" t="s">
        <v>165</v>
      </c>
      <c r="I14" s="3" t="s">
        <v>165</v>
      </c>
      <c r="J14" s="3" t="s">
        <v>165</v>
      </c>
      <c r="K14" s="3">
        <v>20</v>
      </c>
      <c r="L14" s="1" t="s">
        <v>166</v>
      </c>
      <c r="M14" s="3" t="s">
        <v>189</v>
      </c>
    </row>
    <row r="15" spans="1:15">
      <c r="B15" s="3"/>
      <c r="C15" s="1" t="s">
        <v>190</v>
      </c>
      <c r="D15" s="3">
        <v>3</v>
      </c>
      <c r="E15" s="1" t="s">
        <v>163</v>
      </c>
      <c r="F15" s="3">
        <v>41</v>
      </c>
      <c r="G15" s="3" t="s">
        <v>165</v>
      </c>
      <c r="H15" s="3" t="s">
        <v>165</v>
      </c>
      <c r="I15" s="3" t="s">
        <v>165</v>
      </c>
      <c r="J15" s="3" t="s">
        <v>165</v>
      </c>
      <c r="K15" s="3">
        <v>20</v>
      </c>
      <c r="L15" s="1" t="s">
        <v>166</v>
      </c>
      <c r="M15" s="3" t="s">
        <v>176</v>
      </c>
    </row>
    <row r="16" spans="1:15">
      <c r="B16" s="3"/>
      <c r="C16" s="1" t="s">
        <v>191</v>
      </c>
      <c r="D16" s="3">
        <v>4</v>
      </c>
      <c r="E16" s="1" t="s">
        <v>163</v>
      </c>
      <c r="F16" s="3">
        <v>41</v>
      </c>
      <c r="G16" s="3" t="s">
        <v>165</v>
      </c>
      <c r="H16" s="3" t="s">
        <v>165</v>
      </c>
      <c r="I16" s="3" t="s">
        <v>165</v>
      </c>
      <c r="J16" s="3" t="s">
        <v>165</v>
      </c>
      <c r="K16" s="3">
        <v>20</v>
      </c>
      <c r="L16" s="1" t="s">
        <v>166</v>
      </c>
      <c r="M16" s="3" t="s">
        <v>176</v>
      </c>
    </row>
    <row r="17" spans="2:13">
      <c r="B17" s="3"/>
      <c r="C17" s="1" t="s">
        <v>192</v>
      </c>
      <c r="D17" s="3">
        <v>5</v>
      </c>
      <c r="E17" s="1" t="s">
        <v>163</v>
      </c>
      <c r="F17" s="3">
        <v>41</v>
      </c>
      <c r="G17" s="3" t="s">
        <v>165</v>
      </c>
      <c r="H17" s="3" t="s">
        <v>165</v>
      </c>
      <c r="I17" s="3" t="s">
        <v>165</v>
      </c>
      <c r="J17" s="3" t="s">
        <v>165</v>
      </c>
      <c r="K17" s="3">
        <v>20</v>
      </c>
      <c r="L17" s="1" t="s">
        <v>166</v>
      </c>
      <c r="M17" s="3" t="s">
        <v>193</v>
      </c>
    </row>
    <row r="18" spans="2:13">
      <c r="B18" s="3"/>
      <c r="C18" s="1" t="s">
        <v>194</v>
      </c>
      <c r="D18" s="3">
        <v>6</v>
      </c>
      <c r="E18" s="1" t="s">
        <v>163</v>
      </c>
      <c r="F18" s="3">
        <v>41</v>
      </c>
      <c r="G18" s="3" t="s">
        <v>165</v>
      </c>
      <c r="H18" s="3" t="s">
        <v>165</v>
      </c>
      <c r="I18" s="3" t="s">
        <v>165</v>
      </c>
      <c r="J18" s="3" t="s">
        <v>165</v>
      </c>
      <c r="K18" s="3">
        <v>0</v>
      </c>
      <c r="L18" s="1" t="s">
        <v>166</v>
      </c>
      <c r="M18" s="3" t="s">
        <v>195</v>
      </c>
    </row>
    <row r="19" spans="2:13">
      <c r="B19" s="3"/>
      <c r="C19" s="1" t="s">
        <v>196</v>
      </c>
      <c r="D19" s="3">
        <v>7</v>
      </c>
      <c r="E19" s="1" t="s">
        <v>163</v>
      </c>
      <c r="F19" s="3">
        <v>41</v>
      </c>
      <c r="G19" s="3" t="s">
        <v>165</v>
      </c>
      <c r="H19" s="3" t="s">
        <v>165</v>
      </c>
      <c r="I19" s="3" t="s">
        <v>165</v>
      </c>
      <c r="J19" s="3" t="s">
        <v>165</v>
      </c>
      <c r="K19" s="3">
        <v>20</v>
      </c>
      <c r="L19" s="1" t="s">
        <v>166</v>
      </c>
      <c r="M19" s="3" t="s">
        <v>176</v>
      </c>
    </row>
    <row r="20" spans="2:13">
      <c r="B20" s="3"/>
      <c r="C20" s="1" t="s">
        <v>197</v>
      </c>
      <c r="D20" s="3">
        <v>8</v>
      </c>
      <c r="E20" s="1" t="s">
        <v>163</v>
      </c>
      <c r="F20" s="3">
        <v>39</v>
      </c>
      <c r="G20" s="3" t="s">
        <v>165</v>
      </c>
      <c r="H20" s="3" t="s">
        <v>165</v>
      </c>
      <c r="I20" s="3" t="s">
        <v>165</v>
      </c>
      <c r="J20" s="3" t="s">
        <v>165</v>
      </c>
      <c r="K20" s="3">
        <v>0</v>
      </c>
      <c r="L20" s="1" t="s">
        <v>166</v>
      </c>
      <c r="M20" s="3" t="s">
        <v>176</v>
      </c>
    </row>
    <row r="21" spans="2:13">
      <c r="B21" s="3"/>
      <c r="C21" s="1" t="s">
        <v>198</v>
      </c>
      <c r="D21" s="3">
        <v>9</v>
      </c>
      <c r="E21" s="1" t="s">
        <v>163</v>
      </c>
      <c r="F21" s="3">
        <v>41</v>
      </c>
      <c r="G21" s="3" t="s">
        <v>165</v>
      </c>
      <c r="H21" s="3" t="s">
        <v>165</v>
      </c>
      <c r="I21" s="3" t="s">
        <v>165</v>
      </c>
      <c r="J21" s="3" t="s">
        <v>165</v>
      </c>
      <c r="K21" s="3">
        <v>0</v>
      </c>
      <c r="L21" s="1" t="s">
        <v>166</v>
      </c>
      <c r="M21" s="3" t="s">
        <v>199</v>
      </c>
    </row>
    <row r="22" spans="2:13">
      <c r="B22" s="3"/>
      <c r="C22" s="1" t="s">
        <v>200</v>
      </c>
      <c r="D22" s="3">
        <v>10</v>
      </c>
      <c r="E22" s="1" t="s">
        <v>163</v>
      </c>
      <c r="F22" s="3">
        <v>35</v>
      </c>
      <c r="G22" s="3" t="s">
        <v>165</v>
      </c>
      <c r="H22" s="3" t="s">
        <v>165</v>
      </c>
      <c r="I22" s="3" t="s">
        <v>165</v>
      </c>
      <c r="J22" s="3" t="s">
        <v>165</v>
      </c>
      <c r="K22" s="3">
        <v>0</v>
      </c>
      <c r="L22" s="1" t="s">
        <v>166</v>
      </c>
      <c r="M22" s="3" t="s">
        <v>201</v>
      </c>
    </row>
    <row r="23" spans="2:13">
      <c r="B23" s="3"/>
      <c r="C23" s="1" t="s">
        <v>202</v>
      </c>
      <c r="D23" s="3">
        <v>12</v>
      </c>
      <c r="E23" s="1" t="s">
        <v>163</v>
      </c>
      <c r="F23" s="3">
        <v>41</v>
      </c>
      <c r="G23" s="3" t="s">
        <v>165</v>
      </c>
      <c r="H23" s="3" t="s">
        <v>165</v>
      </c>
      <c r="I23" s="3" t="s">
        <v>165</v>
      </c>
      <c r="J23" s="3" t="s">
        <v>165</v>
      </c>
      <c r="K23" s="3">
        <v>0</v>
      </c>
      <c r="L23" s="1" t="s">
        <v>166</v>
      </c>
      <c r="M23" s="3" t="s">
        <v>203</v>
      </c>
    </row>
    <row r="24" spans="2:13">
      <c r="B24" s="3"/>
      <c r="C24" s="1" t="s">
        <v>204</v>
      </c>
      <c r="D24" s="3">
        <v>14</v>
      </c>
      <c r="E24" s="1" t="s">
        <v>163</v>
      </c>
      <c r="F24" s="3">
        <v>39</v>
      </c>
      <c r="G24" s="3" t="s">
        <v>165</v>
      </c>
      <c r="H24" s="3" t="s">
        <v>165</v>
      </c>
      <c r="I24" s="3" t="s">
        <v>165</v>
      </c>
      <c r="J24" s="3" t="s">
        <v>165</v>
      </c>
      <c r="K24" s="3">
        <v>0</v>
      </c>
      <c r="L24" s="1" t="s">
        <v>166</v>
      </c>
      <c r="M24" s="3" t="s">
        <v>205</v>
      </c>
    </row>
    <row r="25" spans="2:13">
      <c r="B25" s="3"/>
      <c r="C25" s="1" t="s">
        <v>206</v>
      </c>
      <c r="D25" s="3">
        <v>15</v>
      </c>
      <c r="E25" s="1" t="s">
        <v>207</v>
      </c>
      <c r="F25" s="3">
        <v>32</v>
      </c>
      <c r="G25" s="3" t="s">
        <v>165</v>
      </c>
      <c r="H25" s="3" t="s">
        <v>165</v>
      </c>
      <c r="I25" s="3" t="s">
        <v>165</v>
      </c>
      <c r="J25" s="3" t="s">
        <v>165</v>
      </c>
      <c r="K25" s="3">
        <v>0</v>
      </c>
      <c r="L25" s="1" t="s">
        <v>166</v>
      </c>
      <c r="M25" s="3" t="s">
        <v>176</v>
      </c>
    </row>
    <row r="26" spans="2:13">
      <c r="B26" s="3"/>
      <c r="C26" s="1" t="s">
        <v>208</v>
      </c>
      <c r="D26" s="3">
        <v>16</v>
      </c>
      <c r="E26" s="1" t="s">
        <v>209</v>
      </c>
      <c r="F26" s="3">
        <v>35</v>
      </c>
      <c r="G26" s="3" t="s">
        <v>165</v>
      </c>
      <c r="H26" s="3" t="s">
        <v>165</v>
      </c>
      <c r="I26" s="3" t="s">
        <v>165</v>
      </c>
      <c r="J26" s="3" t="s">
        <v>165</v>
      </c>
      <c r="K26" s="3">
        <v>12</v>
      </c>
      <c r="L26" s="1" t="s">
        <v>166</v>
      </c>
      <c r="M26" s="3" t="s">
        <v>210</v>
      </c>
    </row>
    <row r="27" spans="2:13">
      <c r="B27" s="3"/>
      <c r="C27" s="1" t="s">
        <v>211</v>
      </c>
      <c r="D27" s="3">
        <v>17</v>
      </c>
      <c r="E27" s="1" t="s">
        <v>212</v>
      </c>
      <c r="F27" s="3">
        <v>41</v>
      </c>
      <c r="G27" s="3" t="s">
        <v>165</v>
      </c>
      <c r="H27" s="3" t="s">
        <v>165</v>
      </c>
      <c r="I27" s="3" t="s">
        <v>165</v>
      </c>
      <c r="J27" s="3" t="s">
        <v>165</v>
      </c>
      <c r="K27" s="3">
        <v>0</v>
      </c>
      <c r="L27" s="1" t="s">
        <v>166</v>
      </c>
      <c r="M27" s="3" t="s">
        <v>213</v>
      </c>
    </row>
    <row r="28" spans="2:13">
      <c r="B28" s="3"/>
      <c r="C28" s="1" t="s">
        <v>214</v>
      </c>
      <c r="D28" s="3">
        <v>18</v>
      </c>
      <c r="E28" s="1" t="s">
        <v>163</v>
      </c>
      <c r="F28" s="3">
        <v>41</v>
      </c>
      <c r="G28" s="3" t="s">
        <v>165</v>
      </c>
      <c r="H28" s="3" t="s">
        <v>165</v>
      </c>
      <c r="I28" s="3" t="s">
        <v>165</v>
      </c>
      <c r="J28" s="3" t="s">
        <v>165</v>
      </c>
      <c r="K28" s="3">
        <v>0</v>
      </c>
      <c r="L28" s="1" t="s">
        <v>166</v>
      </c>
      <c r="M28" s="3" t="s">
        <v>215</v>
      </c>
    </row>
    <row r="29" spans="2:13">
      <c r="B29" s="3"/>
      <c r="C29" s="1" t="s">
        <v>216</v>
      </c>
      <c r="D29" s="3">
        <v>19</v>
      </c>
      <c r="E29" s="1" t="s">
        <v>217</v>
      </c>
      <c r="F29" s="3">
        <v>41</v>
      </c>
      <c r="G29" s="3" t="s">
        <v>165</v>
      </c>
      <c r="H29" s="3" t="s">
        <v>165</v>
      </c>
      <c r="I29" s="3" t="s">
        <v>165</v>
      </c>
      <c r="J29" s="3" t="s">
        <v>165</v>
      </c>
      <c r="K29" s="3">
        <v>0</v>
      </c>
      <c r="L29" s="1" t="s">
        <v>166</v>
      </c>
      <c r="M29" s="3" t="s">
        <v>215</v>
      </c>
    </row>
    <row r="30" spans="2:13">
      <c r="B30" s="3"/>
      <c r="C30" s="1" t="s">
        <v>218</v>
      </c>
      <c r="D30" s="3">
        <v>20</v>
      </c>
      <c r="E30" s="1" t="s">
        <v>163</v>
      </c>
      <c r="F30" s="3">
        <v>39</v>
      </c>
      <c r="G30" s="3" t="s">
        <v>165</v>
      </c>
      <c r="H30" s="3" t="s">
        <v>165</v>
      </c>
      <c r="I30" s="3" t="s">
        <v>165</v>
      </c>
      <c r="J30" s="3" t="s">
        <v>165</v>
      </c>
      <c r="K30" s="3">
        <v>0</v>
      </c>
      <c r="L30" s="1" t="s">
        <v>166</v>
      </c>
      <c r="M30" s="3" t="s">
        <v>176</v>
      </c>
    </row>
    <row r="31" spans="2:13">
      <c r="B31" s="3"/>
      <c r="C31" s="1" t="s">
        <v>219</v>
      </c>
      <c r="D31" s="3">
        <v>21</v>
      </c>
      <c r="E31" s="1" t="s">
        <v>163</v>
      </c>
      <c r="F31" s="3">
        <v>39</v>
      </c>
      <c r="G31" s="3" t="s">
        <v>165</v>
      </c>
      <c r="H31" s="3" t="s">
        <v>165</v>
      </c>
      <c r="I31" s="3" t="s">
        <v>165</v>
      </c>
      <c r="J31" s="3" t="s">
        <v>165</v>
      </c>
      <c r="K31" s="3">
        <v>0</v>
      </c>
      <c r="L31" s="1" t="s">
        <v>166</v>
      </c>
      <c r="M31" s="3" t="s">
        <v>176</v>
      </c>
    </row>
    <row r="32" spans="2:13">
      <c r="B32" s="3"/>
      <c r="C32" s="1" t="s">
        <v>220</v>
      </c>
      <c r="D32" s="3">
        <v>22</v>
      </c>
      <c r="E32" s="1" t="s">
        <v>163</v>
      </c>
      <c r="F32" s="3">
        <v>35</v>
      </c>
      <c r="G32" s="3" t="s">
        <v>165</v>
      </c>
      <c r="H32" s="3" t="s">
        <v>165</v>
      </c>
      <c r="I32" s="3" t="s">
        <v>165</v>
      </c>
      <c r="J32" s="3" t="s">
        <v>165</v>
      </c>
      <c r="K32" s="3">
        <v>0</v>
      </c>
      <c r="L32" s="1" t="s">
        <v>166</v>
      </c>
      <c r="M32" s="3" t="s">
        <v>176</v>
      </c>
    </row>
    <row r="33" spans="2:13">
      <c r="B33" s="3"/>
      <c r="C33" s="1" t="s">
        <v>221</v>
      </c>
      <c r="D33" s="3">
        <v>23</v>
      </c>
      <c r="E33" s="1" t="s">
        <v>163</v>
      </c>
      <c r="F33" s="3">
        <v>39</v>
      </c>
      <c r="G33" s="3" t="s">
        <v>165</v>
      </c>
      <c r="H33" s="3" t="s">
        <v>165</v>
      </c>
      <c r="I33" s="3" t="s">
        <v>165</v>
      </c>
      <c r="J33" s="3" t="s">
        <v>165</v>
      </c>
      <c r="K33" s="3">
        <v>0</v>
      </c>
      <c r="L33" s="1" t="s">
        <v>166</v>
      </c>
      <c r="M33" s="3" t="s">
        <v>222</v>
      </c>
    </row>
    <row r="34" spans="2:13">
      <c r="B34" s="3"/>
      <c r="C34" s="1" t="s">
        <v>223</v>
      </c>
      <c r="D34" s="3">
        <v>26</v>
      </c>
      <c r="E34" s="1" t="s">
        <v>163</v>
      </c>
      <c r="F34" s="3">
        <v>35</v>
      </c>
      <c r="G34" s="3" t="s">
        <v>165</v>
      </c>
      <c r="H34" s="3" t="s">
        <v>165</v>
      </c>
      <c r="I34" s="3" t="s">
        <v>165</v>
      </c>
      <c r="J34" s="3" t="s">
        <v>165</v>
      </c>
      <c r="K34" s="3">
        <v>0</v>
      </c>
      <c r="L34" s="1" t="s">
        <v>166</v>
      </c>
      <c r="M34" s="3" t="s">
        <v>176</v>
      </c>
    </row>
    <row r="35" spans="2:13">
      <c r="B35" s="3"/>
      <c r="C35" s="1" t="s">
        <v>224</v>
      </c>
      <c r="D35" s="3">
        <v>27</v>
      </c>
      <c r="E35" s="1" t="s">
        <v>163</v>
      </c>
      <c r="F35" s="3">
        <v>39</v>
      </c>
      <c r="G35" s="3" t="s">
        <v>165</v>
      </c>
      <c r="H35" s="3" t="s">
        <v>165</v>
      </c>
      <c r="I35" s="3" t="s">
        <v>165</v>
      </c>
      <c r="J35" s="3" t="s">
        <v>165</v>
      </c>
      <c r="K35" s="3">
        <v>0</v>
      </c>
      <c r="L35" s="1" t="s">
        <v>166</v>
      </c>
      <c r="M35" s="3" t="s">
        <v>176</v>
      </c>
    </row>
    <row r="36" spans="2:13">
      <c r="B36" s="3"/>
      <c r="C36" s="1" t="s">
        <v>225</v>
      </c>
      <c r="D36" s="3">
        <v>28</v>
      </c>
      <c r="E36" s="1" t="s">
        <v>163</v>
      </c>
      <c r="F36" s="3">
        <v>39</v>
      </c>
      <c r="G36" s="3" t="s">
        <v>165</v>
      </c>
      <c r="H36" s="3" t="s">
        <v>165</v>
      </c>
      <c r="I36" s="3" t="s">
        <v>165</v>
      </c>
      <c r="J36" s="3" t="s">
        <v>165</v>
      </c>
      <c r="K36" s="3">
        <v>0</v>
      </c>
      <c r="L36" s="1" t="s">
        <v>166</v>
      </c>
      <c r="M36" s="3" t="s">
        <v>176</v>
      </c>
    </row>
    <row r="37" spans="2:13">
      <c r="B37" s="3"/>
      <c r="C37" s="1" t="s">
        <v>226</v>
      </c>
      <c r="D37" s="3">
        <v>30</v>
      </c>
      <c r="E37" s="1" t="s">
        <v>163</v>
      </c>
      <c r="F37" s="3">
        <v>41</v>
      </c>
      <c r="G37" s="3" t="s">
        <v>165</v>
      </c>
      <c r="H37" s="3" t="s">
        <v>165</v>
      </c>
      <c r="I37" s="3" t="s">
        <v>165</v>
      </c>
      <c r="J37" s="3" t="s">
        <v>165</v>
      </c>
      <c r="K37" s="3">
        <v>0</v>
      </c>
      <c r="L37" s="1" t="s">
        <v>166</v>
      </c>
      <c r="M37" s="3" t="s">
        <v>227</v>
      </c>
    </row>
    <row r="38" spans="2:13">
      <c r="B38" s="3"/>
      <c r="C38" s="1" t="s">
        <v>228</v>
      </c>
      <c r="D38" s="3">
        <v>31</v>
      </c>
      <c r="E38" s="1" t="s">
        <v>163</v>
      </c>
      <c r="F38" s="3">
        <v>35</v>
      </c>
      <c r="G38" s="3" t="s">
        <v>165</v>
      </c>
      <c r="H38" s="3" t="s">
        <v>165</v>
      </c>
      <c r="I38" s="3" t="s">
        <v>165</v>
      </c>
      <c r="J38" s="3" t="s">
        <v>165</v>
      </c>
      <c r="K38" s="3">
        <v>12</v>
      </c>
      <c r="L38" s="1" t="s">
        <v>166</v>
      </c>
      <c r="M38" s="3" t="s">
        <v>229</v>
      </c>
    </row>
    <row r="39" spans="2:13">
      <c r="B39" s="3"/>
      <c r="C39" s="1" t="s">
        <v>230</v>
      </c>
      <c r="D39" s="3">
        <v>35</v>
      </c>
      <c r="E39" s="1" t="s">
        <v>163</v>
      </c>
      <c r="F39" s="3">
        <v>32</v>
      </c>
      <c r="G39" s="3" t="s">
        <v>165</v>
      </c>
      <c r="H39" s="3" t="s">
        <v>165</v>
      </c>
      <c r="I39" s="3" t="s">
        <v>165</v>
      </c>
      <c r="J39" s="3" t="s">
        <v>165</v>
      </c>
      <c r="K39" s="3">
        <v>0</v>
      </c>
      <c r="L39" s="1" t="s">
        <v>166</v>
      </c>
      <c r="M39" s="3" t="s">
        <v>231</v>
      </c>
    </row>
    <row r="40" spans="2:13">
      <c r="B40" s="3"/>
      <c r="C40" s="1" t="s">
        <v>232</v>
      </c>
      <c r="D40" s="3">
        <v>36</v>
      </c>
      <c r="E40" s="1" t="s">
        <v>163</v>
      </c>
      <c r="F40" s="3">
        <v>35</v>
      </c>
      <c r="G40" s="3" t="s">
        <v>165</v>
      </c>
      <c r="H40" s="3" t="s">
        <v>165</v>
      </c>
      <c r="I40" s="3" t="s">
        <v>165</v>
      </c>
      <c r="J40" s="3" t="s">
        <v>165</v>
      </c>
      <c r="K40" s="3">
        <v>0</v>
      </c>
      <c r="L40" s="1" t="s">
        <v>166</v>
      </c>
      <c r="M40" s="3" t="s">
        <v>233</v>
      </c>
    </row>
    <row r="41" spans="2:13">
      <c r="B41" s="3"/>
      <c r="C41" s="1" t="s">
        <v>234</v>
      </c>
      <c r="D41" s="3">
        <v>37</v>
      </c>
      <c r="E41" s="1" t="s">
        <v>163</v>
      </c>
      <c r="F41" s="3">
        <v>35</v>
      </c>
      <c r="G41" s="3" t="s">
        <v>165</v>
      </c>
      <c r="H41" s="3" t="s">
        <v>165</v>
      </c>
      <c r="I41" s="3" t="s">
        <v>165</v>
      </c>
      <c r="J41" s="3" t="s">
        <v>165</v>
      </c>
      <c r="K41" s="3">
        <v>0</v>
      </c>
      <c r="L41" s="1" t="s">
        <v>166</v>
      </c>
      <c r="M41" s="3" t="s">
        <v>233</v>
      </c>
    </row>
    <row r="42" spans="2:13">
      <c r="B42" s="3"/>
      <c r="C42" s="1" t="s">
        <v>235</v>
      </c>
      <c r="D42" s="3">
        <v>38</v>
      </c>
      <c r="E42" s="1" t="s">
        <v>163</v>
      </c>
      <c r="F42" s="3">
        <v>35</v>
      </c>
      <c r="G42" s="3" t="s">
        <v>165</v>
      </c>
      <c r="H42" s="3" t="s">
        <v>165</v>
      </c>
      <c r="I42" s="3" t="s">
        <v>165</v>
      </c>
      <c r="J42" s="3" t="s">
        <v>165</v>
      </c>
      <c r="K42" s="3">
        <v>0</v>
      </c>
      <c r="L42" s="1" t="s">
        <v>166</v>
      </c>
      <c r="M42" s="3" t="s">
        <v>236</v>
      </c>
    </row>
    <row r="43" spans="2:13">
      <c r="B43" s="3"/>
      <c r="C43" s="1" t="s">
        <v>237</v>
      </c>
      <c r="D43" s="3">
        <v>39</v>
      </c>
      <c r="E43" s="1" t="s">
        <v>163</v>
      </c>
      <c r="F43" s="3">
        <v>39</v>
      </c>
      <c r="G43" s="3" t="s">
        <v>165</v>
      </c>
      <c r="H43" s="3" t="s">
        <v>165</v>
      </c>
      <c r="I43" s="3" t="s">
        <v>165</v>
      </c>
      <c r="J43" s="3" t="s">
        <v>165</v>
      </c>
      <c r="K43" s="3">
        <v>0</v>
      </c>
      <c r="L43" s="1" t="s">
        <v>166</v>
      </c>
      <c r="M43" s="3" t="s">
        <v>176</v>
      </c>
    </row>
    <row r="44" spans="2:13">
      <c r="B44" s="3"/>
      <c r="C44" s="1" t="s">
        <v>238</v>
      </c>
      <c r="D44" s="3">
        <v>40</v>
      </c>
      <c r="E44" s="1" t="s">
        <v>163</v>
      </c>
      <c r="F44" s="3">
        <v>39</v>
      </c>
      <c r="G44" s="3" t="s">
        <v>165</v>
      </c>
      <c r="H44" s="3" t="s">
        <v>165</v>
      </c>
      <c r="I44" s="3" t="s">
        <v>165</v>
      </c>
      <c r="J44" s="3" t="s">
        <v>165</v>
      </c>
      <c r="K44" s="3">
        <v>0</v>
      </c>
      <c r="L44" s="1" t="s">
        <v>166</v>
      </c>
      <c r="M44" s="3" t="s">
        <v>227</v>
      </c>
    </row>
    <row r="45" spans="2:13">
      <c r="B45" s="3"/>
      <c r="C45" s="1" t="s">
        <v>239</v>
      </c>
      <c r="D45" s="3">
        <v>41</v>
      </c>
      <c r="E45" s="1" t="s">
        <v>163</v>
      </c>
      <c r="F45" s="3">
        <v>35</v>
      </c>
      <c r="G45" s="3" t="s">
        <v>165</v>
      </c>
      <c r="H45" s="3" t="s">
        <v>165</v>
      </c>
      <c r="I45" s="3" t="s">
        <v>165</v>
      </c>
      <c r="J45" s="3" t="s">
        <v>165</v>
      </c>
      <c r="K45" s="3">
        <v>0</v>
      </c>
      <c r="L45" s="1" t="s">
        <v>166</v>
      </c>
      <c r="M45" s="3" t="s">
        <v>233</v>
      </c>
    </row>
    <row r="46" spans="2:13">
      <c r="B46" s="3"/>
      <c r="C46" s="1" t="s">
        <v>240</v>
      </c>
      <c r="D46" s="3">
        <v>42</v>
      </c>
      <c r="E46" s="1" t="s">
        <v>163</v>
      </c>
      <c r="F46" s="3">
        <v>32</v>
      </c>
      <c r="G46" s="3" t="s">
        <v>165</v>
      </c>
      <c r="H46" s="3" t="s">
        <v>165</v>
      </c>
      <c r="I46" s="3" t="s">
        <v>165</v>
      </c>
      <c r="J46" s="3" t="s">
        <v>165</v>
      </c>
      <c r="K46" s="3">
        <v>0</v>
      </c>
      <c r="L46" s="1" t="s">
        <v>166</v>
      </c>
      <c r="M46" s="3" t="s">
        <v>241</v>
      </c>
    </row>
    <row r="47" spans="2:13">
      <c r="B47" s="3"/>
      <c r="C47" s="1" t="s">
        <v>242</v>
      </c>
      <c r="D47" s="3">
        <v>43</v>
      </c>
      <c r="E47" s="1" t="s">
        <v>163</v>
      </c>
      <c r="F47" s="3">
        <v>32</v>
      </c>
      <c r="G47" s="3" t="s">
        <v>165</v>
      </c>
      <c r="H47" s="3" t="s">
        <v>165</v>
      </c>
      <c r="I47" s="3" t="s">
        <v>165</v>
      </c>
      <c r="J47" s="3" t="s">
        <v>165</v>
      </c>
      <c r="K47" s="3">
        <v>0</v>
      </c>
      <c r="L47" s="1" t="s">
        <v>166</v>
      </c>
      <c r="M47" s="3" t="s">
        <v>243</v>
      </c>
    </row>
    <row r="48" spans="2:13">
      <c r="B48" s="3"/>
      <c r="C48" s="1" t="s">
        <v>244</v>
      </c>
      <c r="D48" s="3">
        <v>44</v>
      </c>
      <c r="E48" s="1" t="s">
        <v>163</v>
      </c>
      <c r="F48" s="3">
        <v>32</v>
      </c>
      <c r="G48" s="3" t="s">
        <v>165</v>
      </c>
      <c r="H48" s="3" t="s">
        <v>165</v>
      </c>
      <c r="I48" s="3" t="s">
        <v>165</v>
      </c>
      <c r="J48" s="3" t="s">
        <v>165</v>
      </c>
      <c r="K48" s="3">
        <v>0</v>
      </c>
      <c r="L48" s="1" t="s">
        <v>166</v>
      </c>
      <c r="M48" s="3" t="s">
        <v>245</v>
      </c>
    </row>
    <row r="49" spans="2:13">
      <c r="B49" s="3"/>
      <c r="C49" s="1" t="s">
        <v>246</v>
      </c>
      <c r="D49" s="3">
        <v>45</v>
      </c>
      <c r="E49" s="1" t="s">
        <v>163</v>
      </c>
      <c r="F49" s="3">
        <v>32</v>
      </c>
      <c r="G49" s="3" t="s">
        <v>165</v>
      </c>
      <c r="H49" s="3" t="s">
        <v>165</v>
      </c>
      <c r="I49" s="3" t="s">
        <v>165</v>
      </c>
      <c r="J49" s="3" t="s">
        <v>165</v>
      </c>
      <c r="K49" s="3">
        <v>0</v>
      </c>
      <c r="L49" s="1" t="s">
        <v>166</v>
      </c>
      <c r="M49" s="3" t="s">
        <v>247</v>
      </c>
    </row>
    <row r="50" spans="2:13">
      <c r="B50" s="3"/>
      <c r="C50" s="1" t="s">
        <v>248</v>
      </c>
      <c r="D50" s="3">
        <v>46</v>
      </c>
      <c r="E50" s="1" t="s">
        <v>163</v>
      </c>
      <c r="F50" s="3">
        <v>32</v>
      </c>
      <c r="G50" s="3" t="s">
        <v>165</v>
      </c>
      <c r="H50" s="3" t="s">
        <v>165</v>
      </c>
      <c r="I50" s="3" t="s">
        <v>165</v>
      </c>
      <c r="J50" s="3" t="s">
        <v>165</v>
      </c>
      <c r="K50" s="3">
        <v>0</v>
      </c>
      <c r="L50" s="1" t="s">
        <v>166</v>
      </c>
      <c r="M50" s="3" t="s">
        <v>249</v>
      </c>
    </row>
    <row r="51" spans="2:13">
      <c r="B51" s="3"/>
      <c r="C51" s="1" t="s">
        <v>250</v>
      </c>
      <c r="D51" s="3">
        <v>47</v>
      </c>
      <c r="E51" s="1" t="s">
        <v>163</v>
      </c>
      <c r="F51" s="3">
        <v>32</v>
      </c>
      <c r="G51" s="3" t="s">
        <v>165</v>
      </c>
      <c r="H51" s="3" t="s">
        <v>165</v>
      </c>
      <c r="I51" s="3" t="s">
        <v>165</v>
      </c>
      <c r="J51" s="3" t="s">
        <v>165</v>
      </c>
      <c r="K51" s="3">
        <v>0</v>
      </c>
      <c r="L51" s="1" t="s">
        <v>166</v>
      </c>
      <c r="M51" s="3" t="s">
        <v>251</v>
      </c>
    </row>
    <row r="52" spans="2:13">
      <c r="B52" s="3"/>
      <c r="C52" s="1" t="s">
        <v>252</v>
      </c>
      <c r="D52" s="3">
        <v>48</v>
      </c>
      <c r="E52" s="1" t="s">
        <v>163</v>
      </c>
      <c r="F52" s="3">
        <v>32</v>
      </c>
      <c r="G52" s="3" t="s">
        <v>165</v>
      </c>
      <c r="H52" s="3" t="s">
        <v>165</v>
      </c>
      <c r="I52" s="3" t="s">
        <v>165</v>
      </c>
      <c r="J52" s="3" t="s">
        <v>165</v>
      </c>
      <c r="K52" s="3">
        <v>0</v>
      </c>
      <c r="L52" s="1" t="s">
        <v>166</v>
      </c>
      <c r="M52" s="3" t="s">
        <v>253</v>
      </c>
    </row>
    <row r="53" spans="2:13">
      <c r="B53" s="3"/>
      <c r="C53" s="1" t="s">
        <v>254</v>
      </c>
      <c r="D53" s="3">
        <v>49</v>
      </c>
      <c r="E53" s="1" t="s">
        <v>163</v>
      </c>
      <c r="F53" s="3">
        <v>32</v>
      </c>
      <c r="G53" s="3" t="s">
        <v>165</v>
      </c>
      <c r="H53" s="3" t="s">
        <v>165</v>
      </c>
      <c r="I53" s="3" t="s">
        <v>165</v>
      </c>
      <c r="J53" s="3" t="s">
        <v>165</v>
      </c>
      <c r="K53" s="3">
        <v>0</v>
      </c>
      <c r="L53" s="1" t="s">
        <v>166</v>
      </c>
      <c r="M53" s="3" t="s">
        <v>231</v>
      </c>
    </row>
    <row r="54" spans="2:13">
      <c r="B54" s="3"/>
      <c r="C54" s="1" t="s">
        <v>255</v>
      </c>
      <c r="D54" s="3">
        <v>50</v>
      </c>
      <c r="E54" s="1" t="s">
        <v>163</v>
      </c>
      <c r="F54" s="3">
        <v>32</v>
      </c>
      <c r="G54" s="3" t="s">
        <v>165</v>
      </c>
      <c r="H54" s="3" t="s">
        <v>165</v>
      </c>
      <c r="I54" s="3" t="s">
        <v>165</v>
      </c>
      <c r="J54" s="3" t="s">
        <v>165</v>
      </c>
      <c r="K54" s="3">
        <v>0</v>
      </c>
      <c r="L54" s="1" t="s">
        <v>166</v>
      </c>
      <c r="M54" s="3" t="s">
        <v>256</v>
      </c>
    </row>
    <row r="55" spans="2:13">
      <c r="B55" s="3"/>
      <c r="C55" s="1" t="s">
        <v>257</v>
      </c>
      <c r="D55" s="3">
        <v>51</v>
      </c>
      <c r="E55" s="1" t="s">
        <v>163</v>
      </c>
      <c r="F55" s="3">
        <v>32</v>
      </c>
      <c r="G55" s="3" t="s">
        <v>165</v>
      </c>
      <c r="H55" s="3" t="s">
        <v>165</v>
      </c>
      <c r="I55" s="3" t="s">
        <v>165</v>
      </c>
      <c r="J55" s="3" t="s">
        <v>165</v>
      </c>
      <c r="K55" s="3">
        <v>0</v>
      </c>
      <c r="L55" s="1" t="s">
        <v>166</v>
      </c>
      <c r="M55" s="3" t="s">
        <v>258</v>
      </c>
    </row>
    <row r="56" spans="2:13">
      <c r="B56" s="3"/>
      <c r="C56" s="1" t="s">
        <v>259</v>
      </c>
      <c r="D56" s="3">
        <v>52</v>
      </c>
      <c r="E56" s="1" t="s">
        <v>163</v>
      </c>
      <c r="F56" s="3">
        <v>32</v>
      </c>
      <c r="G56" s="3" t="s">
        <v>165</v>
      </c>
      <c r="H56" s="3" t="s">
        <v>165</v>
      </c>
      <c r="I56" s="3" t="s">
        <v>165</v>
      </c>
      <c r="J56" s="3" t="s">
        <v>165</v>
      </c>
      <c r="K56" s="3">
        <v>12</v>
      </c>
      <c r="L56" s="1" t="s">
        <v>166</v>
      </c>
      <c r="M56" s="3" t="s">
        <v>260</v>
      </c>
    </row>
    <row r="57" spans="2:13">
      <c r="B57" s="3"/>
      <c r="C57" s="1" t="s">
        <v>261</v>
      </c>
      <c r="D57" s="3">
        <v>53</v>
      </c>
      <c r="E57" s="1" t="s">
        <v>163</v>
      </c>
      <c r="F57" s="3">
        <v>32</v>
      </c>
      <c r="G57" s="3" t="s">
        <v>165</v>
      </c>
      <c r="H57" s="3" t="s">
        <v>165</v>
      </c>
      <c r="I57" s="3" t="s">
        <v>165</v>
      </c>
      <c r="J57" s="3" t="s">
        <v>165</v>
      </c>
      <c r="K57" s="3">
        <v>0</v>
      </c>
      <c r="L57" s="1" t="s">
        <v>166</v>
      </c>
      <c r="M57" s="3" t="s">
        <v>262</v>
      </c>
    </row>
    <row r="58" spans="2:13">
      <c r="B58" s="3"/>
      <c r="C58" s="1" t="s">
        <v>263</v>
      </c>
      <c r="D58" s="3">
        <v>54</v>
      </c>
      <c r="E58" s="1" t="s">
        <v>163</v>
      </c>
      <c r="F58" s="3">
        <v>32</v>
      </c>
      <c r="G58" s="3" t="s">
        <v>165</v>
      </c>
      <c r="H58" s="3" t="s">
        <v>165</v>
      </c>
      <c r="I58" s="3" t="s">
        <v>165</v>
      </c>
      <c r="J58" s="3" t="s">
        <v>165</v>
      </c>
      <c r="K58" s="3">
        <v>0</v>
      </c>
      <c r="L58" s="1" t="s">
        <v>166</v>
      </c>
      <c r="M58" s="3" t="s">
        <v>264</v>
      </c>
    </row>
    <row r="59" spans="2:13">
      <c r="B59" s="3"/>
      <c r="C59" s="1" t="s">
        <v>265</v>
      </c>
      <c r="D59" s="3">
        <v>55</v>
      </c>
      <c r="E59" s="1" t="s">
        <v>163</v>
      </c>
      <c r="F59" s="3">
        <v>32</v>
      </c>
      <c r="G59" s="3" t="s">
        <v>165</v>
      </c>
      <c r="H59" s="3" t="s">
        <v>165</v>
      </c>
      <c r="I59" s="3" t="s">
        <v>165</v>
      </c>
      <c r="J59" s="3" t="s">
        <v>165</v>
      </c>
      <c r="K59" s="3">
        <v>0</v>
      </c>
      <c r="L59" s="1" t="s">
        <v>166</v>
      </c>
      <c r="M59" s="3" t="s">
        <v>266</v>
      </c>
    </row>
    <row r="60" spans="2:13">
      <c r="B60" s="3"/>
      <c r="C60" s="1" t="s">
        <v>267</v>
      </c>
      <c r="D60" s="3">
        <v>56</v>
      </c>
      <c r="E60" s="1" t="s">
        <v>163</v>
      </c>
      <c r="F60" s="3">
        <v>32</v>
      </c>
      <c r="G60" s="3" t="s">
        <v>165</v>
      </c>
      <c r="H60" s="3" t="s">
        <v>165</v>
      </c>
      <c r="I60" s="3" t="s">
        <v>165</v>
      </c>
      <c r="J60" s="3" t="s">
        <v>165</v>
      </c>
      <c r="K60" s="3">
        <v>0</v>
      </c>
      <c r="L60" s="1" t="s">
        <v>166</v>
      </c>
      <c r="M60" s="3" t="s">
        <v>268</v>
      </c>
    </row>
    <row r="61" spans="2:13">
      <c r="B61" s="3"/>
      <c r="C61" s="1" t="s">
        <v>269</v>
      </c>
      <c r="D61" s="3">
        <v>60</v>
      </c>
      <c r="E61" s="1" t="s">
        <v>163</v>
      </c>
      <c r="F61" s="3">
        <v>32</v>
      </c>
      <c r="G61" s="3" t="s">
        <v>165</v>
      </c>
      <c r="H61" s="3" t="s">
        <v>165</v>
      </c>
      <c r="I61" s="3" t="s">
        <v>165</v>
      </c>
      <c r="J61" s="3" t="s">
        <v>165</v>
      </c>
      <c r="K61" s="3">
        <v>0</v>
      </c>
      <c r="L61" s="1" t="s">
        <v>166</v>
      </c>
      <c r="M61" s="3" t="s">
        <v>210</v>
      </c>
    </row>
    <row r="62" spans="2:13">
      <c r="B62" s="3"/>
      <c r="C62" s="1" t="s">
        <v>270</v>
      </c>
      <c r="D62" s="3">
        <v>10001</v>
      </c>
      <c r="E62" s="1" t="s">
        <v>163</v>
      </c>
      <c r="F62" s="3">
        <v>0</v>
      </c>
      <c r="G62" s="3" t="s">
        <v>165</v>
      </c>
      <c r="H62" s="3" t="s">
        <v>165</v>
      </c>
      <c r="I62" s="3" t="s">
        <v>165</v>
      </c>
      <c r="J62" s="3" t="s">
        <v>165</v>
      </c>
      <c r="K62" s="3">
        <v>0</v>
      </c>
      <c r="L62" s="1" t="s">
        <v>166</v>
      </c>
      <c r="M62" s="3">
        <v>10001</v>
      </c>
    </row>
    <row r="63" spans="2:13">
      <c r="B63" s="3"/>
      <c r="C63" s="1" t="s">
        <v>271</v>
      </c>
      <c r="D63" s="3">
        <v>10002</v>
      </c>
      <c r="E63" s="1" t="s">
        <v>163</v>
      </c>
      <c r="F63" s="3">
        <v>0</v>
      </c>
      <c r="G63" s="3" t="s">
        <v>165</v>
      </c>
      <c r="H63" s="3" t="s">
        <v>165</v>
      </c>
      <c r="I63" s="3" t="s">
        <v>165</v>
      </c>
      <c r="J63" s="3" t="s">
        <v>165</v>
      </c>
      <c r="K63" s="3">
        <v>0</v>
      </c>
      <c r="L63" s="1" t="s">
        <v>166</v>
      </c>
      <c r="M63" s="3">
        <v>10002</v>
      </c>
    </row>
    <row r="64" spans="2:13">
      <c r="B64" s="3"/>
      <c r="C64" s="1" t="s">
        <v>272</v>
      </c>
      <c r="D64" s="3">
        <v>10003</v>
      </c>
      <c r="E64" s="1" t="s">
        <v>163</v>
      </c>
      <c r="F64" s="3">
        <v>0</v>
      </c>
      <c r="G64" s="3" t="s">
        <v>165</v>
      </c>
      <c r="H64" s="3" t="s">
        <v>165</v>
      </c>
      <c r="I64" s="3" t="s">
        <v>165</v>
      </c>
      <c r="J64" s="3" t="s">
        <v>165</v>
      </c>
      <c r="K64" s="3">
        <v>0</v>
      </c>
      <c r="L64" s="1" t="s">
        <v>166</v>
      </c>
      <c r="M64" s="3">
        <v>10003</v>
      </c>
    </row>
    <row r="65" spans="1:13">
      <c r="A65" s="1" t="s">
        <v>273</v>
      </c>
      <c r="B65" s="1" t="s">
        <v>273</v>
      </c>
      <c r="C65" s="1" t="s">
        <v>274</v>
      </c>
      <c r="D65" s="1">
        <v>10500</v>
      </c>
      <c r="E65" s="1">
        <v>0</v>
      </c>
      <c r="F65" s="1">
        <v>0</v>
      </c>
      <c r="G65" s="1" t="s">
        <v>165</v>
      </c>
      <c r="H65" s="1" t="s">
        <v>165</v>
      </c>
      <c r="I65" s="1" t="s">
        <v>165</v>
      </c>
      <c r="J65" s="1" t="s">
        <v>165</v>
      </c>
      <c r="K65" s="1">
        <v>0</v>
      </c>
      <c r="L65" s="1" t="s">
        <v>166</v>
      </c>
      <c r="M65" s="1">
        <v>10500</v>
      </c>
    </row>
    <row r="66" spans="1:13">
      <c r="A66" s="1" t="s">
        <v>273</v>
      </c>
      <c r="B66" s="1" t="s">
        <v>273</v>
      </c>
      <c r="C66" s="1" t="s">
        <v>274</v>
      </c>
      <c r="D66" s="1">
        <v>10501</v>
      </c>
      <c r="E66" s="1">
        <v>0</v>
      </c>
      <c r="F66" s="1">
        <v>0</v>
      </c>
      <c r="G66" s="1" t="s">
        <v>165</v>
      </c>
      <c r="H66" s="1" t="s">
        <v>165</v>
      </c>
      <c r="I66" s="1" t="s">
        <v>165</v>
      </c>
      <c r="J66" s="1" t="s">
        <v>165</v>
      </c>
      <c r="K66" s="1">
        <v>0</v>
      </c>
      <c r="L66" s="1" t="s">
        <v>166</v>
      </c>
      <c r="M66" s="1">
        <v>10501</v>
      </c>
    </row>
    <row r="67" spans="1:13">
      <c r="A67" s="1" t="s">
        <v>273</v>
      </c>
      <c r="B67" s="1" t="s">
        <v>273</v>
      </c>
      <c r="C67" s="1" t="s">
        <v>274</v>
      </c>
      <c r="D67" s="1">
        <v>10502</v>
      </c>
      <c r="E67" s="1">
        <v>0</v>
      </c>
      <c r="F67" s="1">
        <v>0</v>
      </c>
      <c r="G67" s="1" t="s">
        <v>165</v>
      </c>
      <c r="H67" s="1" t="s">
        <v>165</v>
      </c>
      <c r="I67" s="1" t="s">
        <v>165</v>
      </c>
      <c r="J67" s="1" t="s">
        <v>165</v>
      </c>
      <c r="K67" s="1">
        <v>0</v>
      </c>
      <c r="L67" s="1" t="s">
        <v>166</v>
      </c>
      <c r="M67" s="1">
        <v>10502</v>
      </c>
    </row>
    <row r="68" spans="1:13">
      <c r="A68" s="1" t="s">
        <v>273</v>
      </c>
      <c r="B68" s="1" t="s">
        <v>273</v>
      </c>
      <c r="C68" s="1" t="s">
        <v>274</v>
      </c>
      <c r="D68" s="1">
        <v>10503</v>
      </c>
      <c r="E68" s="1">
        <v>0</v>
      </c>
      <c r="F68" s="1">
        <v>0</v>
      </c>
      <c r="G68" s="1" t="s">
        <v>165</v>
      </c>
      <c r="H68" s="1" t="s">
        <v>165</v>
      </c>
      <c r="I68" s="1" t="s">
        <v>165</v>
      </c>
      <c r="J68" s="1" t="s">
        <v>165</v>
      </c>
      <c r="K68" s="1">
        <v>0</v>
      </c>
      <c r="L68" s="1" t="s">
        <v>166</v>
      </c>
      <c r="M68" s="1">
        <v>10503</v>
      </c>
    </row>
  </sheetData>
  <dataValidations count="2">
    <dataValidation type="list" allowBlank="1" showInputMessage="1" showErrorMessage="1" errorTitle="Invalid Entry" error="Your entry is not in the list" promptTitle="List Selection" prompt="Please select from the list" sqref="L2:L61">
      <formula1>"自定义,随机"</formula1>
    </dataValidation>
    <dataValidation type="list" allowBlank="1" showInputMessage="1" showErrorMessage="1" errorTitle="Invalid Entry" error="Your entry is not in the list" promptTitle="List Selection" prompt="Please select from the list" sqref="G2:J61">
      <formula1>"YES,NO"</formula1>
    </dataValidation>
  </dataValidation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1"/>
  <sheetViews>
    <sheetView tabSelected="1" workbookViewId="0">
      <selection activeCell="A1" sqref="A1"/>
    </sheetView>
  </sheetViews>
  <sheetFormatPr defaultColWidth="9" defaultRowHeight="14" outlineLevelCol="6"/>
  <cols>
    <col min="1" max="16384" width="9" style="1"/>
  </cols>
  <sheetData>
    <row r="1" spans="1:7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</row>
    <row r="2" spans="1:7">
      <c r="A2" s="1">
        <v>1</v>
      </c>
      <c r="B2" s="1" t="s">
        <v>282</v>
      </c>
      <c r="C2" s="1">
        <v>0</v>
      </c>
      <c r="D2" s="1">
        <v>3</v>
      </c>
      <c r="E2" s="1">
        <v>3</v>
      </c>
      <c r="F2" s="1">
        <v>3</v>
      </c>
      <c r="G2" s="1">
        <v>0</v>
      </c>
    </row>
    <row r="3" spans="1:7">
      <c r="A3" s="1">
        <v>2</v>
      </c>
      <c r="B3" s="1" t="s">
        <v>283</v>
      </c>
      <c r="C3" s="1">
        <v>3</v>
      </c>
      <c r="D3" s="1">
        <v>3</v>
      </c>
      <c r="E3" s="1">
        <v>3</v>
      </c>
      <c r="F3" s="1">
        <v>0</v>
      </c>
      <c r="G3" s="1">
        <v>0</v>
      </c>
    </row>
    <row r="4" spans="1:7">
      <c r="A4" s="1">
        <v>3</v>
      </c>
      <c r="B4" s="1" t="s">
        <v>284</v>
      </c>
      <c r="C4" s="1">
        <v>4</v>
      </c>
      <c r="D4" s="1">
        <v>0</v>
      </c>
      <c r="E4" s="1">
        <v>0</v>
      </c>
      <c r="F4" s="1">
        <v>0</v>
      </c>
      <c r="G4" s="1">
        <v>4</v>
      </c>
    </row>
    <row r="5" spans="1:7">
      <c r="A5" s="1">
        <v>4</v>
      </c>
      <c r="B5" s="1" t="s">
        <v>285</v>
      </c>
      <c r="C5" s="1">
        <v>4</v>
      </c>
      <c r="D5" s="1">
        <v>4</v>
      </c>
      <c r="E5" s="1">
        <v>0</v>
      </c>
      <c r="F5" s="1">
        <v>0</v>
      </c>
      <c r="G5" s="1">
        <v>0</v>
      </c>
    </row>
    <row r="6" spans="1:7">
      <c r="A6" s="1">
        <v>5</v>
      </c>
      <c r="B6" s="1" t="s">
        <v>286</v>
      </c>
      <c r="C6" s="1">
        <v>0</v>
      </c>
      <c r="D6" s="1">
        <v>0</v>
      </c>
      <c r="E6" s="1">
        <v>0</v>
      </c>
      <c r="F6" s="1">
        <v>4</v>
      </c>
      <c r="G6" s="1">
        <v>4</v>
      </c>
    </row>
    <row r="7" spans="1:7">
      <c r="A7" s="1">
        <v>6</v>
      </c>
      <c r="B7" s="1" t="s">
        <v>287</v>
      </c>
      <c r="C7" s="1">
        <v>0</v>
      </c>
      <c r="D7" s="1">
        <v>4</v>
      </c>
      <c r="E7" s="1">
        <v>4</v>
      </c>
      <c r="F7" s="1">
        <v>0</v>
      </c>
      <c r="G7" s="1">
        <v>0</v>
      </c>
    </row>
    <row r="8" spans="1:7">
      <c r="A8" s="1">
        <v>7</v>
      </c>
      <c r="B8" s="1" t="s">
        <v>288</v>
      </c>
      <c r="C8" s="1">
        <v>3</v>
      </c>
      <c r="D8" s="1">
        <v>0</v>
      </c>
      <c r="E8" s="1">
        <v>0</v>
      </c>
      <c r="F8" s="1">
        <v>3</v>
      </c>
      <c r="G8" s="1">
        <v>3</v>
      </c>
    </row>
    <row r="9" spans="1:7">
      <c r="A9" s="1">
        <v>8</v>
      </c>
      <c r="B9" s="1" t="s">
        <v>289</v>
      </c>
      <c r="C9" s="1">
        <v>0</v>
      </c>
      <c r="D9" s="1">
        <v>0</v>
      </c>
      <c r="E9" s="1">
        <v>3</v>
      </c>
      <c r="F9" s="1">
        <v>3</v>
      </c>
      <c r="G9" s="1">
        <v>3</v>
      </c>
    </row>
    <row r="10" spans="1:7">
      <c r="A10" s="1">
        <v>9</v>
      </c>
      <c r="B10" s="1" t="s">
        <v>290</v>
      </c>
      <c r="C10" s="1">
        <v>3</v>
      </c>
      <c r="D10" s="1">
        <v>3</v>
      </c>
      <c r="E10" s="1">
        <v>0</v>
      </c>
      <c r="F10" s="1">
        <v>0</v>
      </c>
      <c r="G10" s="1">
        <v>3</v>
      </c>
    </row>
    <row r="11" spans="1:7">
      <c r="A11" s="1">
        <v>10</v>
      </c>
      <c r="B11" s="1" t="s">
        <v>291</v>
      </c>
      <c r="C11" s="1">
        <v>0</v>
      </c>
      <c r="D11" s="1">
        <v>0</v>
      </c>
      <c r="E11" s="1">
        <v>4</v>
      </c>
      <c r="F11" s="1">
        <v>4</v>
      </c>
      <c r="G11" s="1">
        <v>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冻结窗格</vt:lpstr>
      <vt:lpstr>快速填充</vt:lpstr>
      <vt:lpstr>相似单元格填充</vt:lpstr>
      <vt:lpstr>合并单元格排序</vt:lpstr>
      <vt:lpstr>删除重复值</vt:lpstr>
      <vt:lpstr>函数的使用</vt:lpstr>
      <vt:lpstr>多文档合并</vt:lpstr>
      <vt:lpstr>Sheet1</vt:lpstr>
      <vt:lpstr>&lt;0&gt;cmd</vt:lpstr>
      <vt:lpstr>Sheet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67</cp:lastModifiedBy>
  <dcterms:created xsi:type="dcterms:W3CDTF">2015-01-15T16:55:00Z</dcterms:created>
  <dcterms:modified xsi:type="dcterms:W3CDTF">2026-05-25T01:40:46Z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D9377F3FEB7E482FAC52A9988CE20B05_12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